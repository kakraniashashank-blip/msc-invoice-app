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kra\Downloads\MURLI STEEL\"/>
    </mc:Choice>
  </mc:AlternateContent>
  <xr:revisionPtr revIDLastSave="0" documentId="13_ncr:1_{688ED63C-FAA7-4E02-8344-7B8AF8FB6FD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I" sheetId="16" r:id="rId1"/>
    <sheet name="Master_Items" sheetId="14" r:id="rId2"/>
    <sheet name="Lagan_19" sheetId="18" r:id="rId3"/>
    <sheet name="Lagan_17" sheetId="17" r:id="rId4"/>
    <sheet name="Lagan_16" sheetId="13" r:id="rId5"/>
    <sheet name="Lagan_15" sheetId="15" r:id="rId6"/>
    <sheet name="Lagan_10" sheetId="1" r:id="rId7"/>
    <sheet name="Lagan_9" sheetId="3" r:id="rId8"/>
    <sheet name="birla_05" sheetId="5" r:id="rId9"/>
    <sheet name="birla_11" sheetId="4" r:id="rId10"/>
    <sheet name="birla_12" sheetId="6" r:id="rId11"/>
    <sheet name="birla_13" sheetId="9" r:id="rId12"/>
    <sheet name="birla_14" sheetId="8" r:id="rId13"/>
    <sheet name="birla_14_CN" sheetId="11" r:id="rId1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3" i="14" l="1"/>
  <c r="A44" i="14"/>
  <c r="A45" i="14"/>
  <c r="A46" i="14"/>
  <c r="A42" i="14"/>
  <c r="H29" i="18"/>
  <c r="E27" i="18"/>
  <c r="B26" i="18"/>
  <c r="B25" i="18"/>
  <c r="B24" i="18"/>
  <c r="B23" i="18"/>
  <c r="B22" i="18"/>
  <c r="B21" i="18"/>
  <c r="B20" i="18"/>
  <c r="B19" i="18"/>
  <c r="H22" i="18"/>
  <c r="H21" i="18"/>
  <c r="H20" i="18"/>
  <c r="H19" i="18"/>
  <c r="C25" i="18"/>
  <c r="C26" i="18"/>
  <c r="H25" i="18"/>
  <c r="C24" i="18"/>
  <c r="C23" i="18"/>
  <c r="C22" i="18"/>
  <c r="C21" i="18"/>
  <c r="C20" i="18"/>
  <c r="C19" i="18"/>
  <c r="F27" i="18"/>
  <c r="H26" i="18"/>
  <c r="H24" i="18"/>
  <c r="H23" i="18"/>
  <c r="B19" i="17"/>
  <c r="H25" i="17"/>
  <c r="H27" i="17" s="1"/>
  <c r="F23" i="17"/>
  <c r="H22" i="17"/>
  <c r="H21" i="17"/>
  <c r="H20" i="17"/>
  <c r="H19" i="17"/>
  <c r="H26" i="16"/>
  <c r="H28" i="16"/>
  <c r="B26" i="16"/>
  <c r="C26" i="16"/>
  <c r="H25" i="16"/>
  <c r="B25" i="16"/>
  <c r="C25" i="16"/>
  <c r="H24" i="16"/>
  <c r="B22" i="16"/>
  <c r="B23" i="16"/>
  <c r="B24" i="16"/>
  <c r="C24" i="16"/>
  <c r="A41" i="14"/>
  <c r="A40" i="14"/>
  <c r="A39" i="14"/>
  <c r="A38" i="14"/>
  <c r="A37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H23" i="16"/>
  <c r="C23" i="16"/>
  <c r="C22" i="16"/>
  <c r="B21" i="16"/>
  <c r="C21" i="16"/>
  <c r="H20" i="16"/>
  <c r="H21" i="16"/>
  <c r="H22" i="16"/>
  <c r="B20" i="16"/>
  <c r="C20" i="16"/>
  <c r="C19" i="16"/>
  <c r="H19" i="16"/>
  <c r="B19" i="16"/>
  <c r="F25" i="15"/>
  <c r="H24" i="15"/>
  <c r="B24" i="15"/>
  <c r="F23" i="13"/>
  <c r="H23" i="15"/>
  <c r="B23" i="15"/>
  <c r="C23" i="15"/>
  <c r="B22" i="15"/>
  <c r="C22" i="15"/>
  <c r="B21" i="15"/>
  <c r="C21" i="15"/>
  <c r="B20" i="15"/>
  <c r="C20" i="15"/>
  <c r="B19" i="15"/>
  <c r="C19" i="15"/>
  <c r="H22" i="15"/>
  <c r="H21" i="15"/>
  <c r="H20" i="15"/>
  <c r="H19" i="15"/>
  <c r="B22" i="13"/>
  <c r="B21" i="13"/>
  <c r="C21" i="13"/>
  <c r="B20" i="13"/>
  <c r="C20" i="13"/>
  <c r="B19" i="13"/>
  <c r="C19" i="13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H31" i="18" l="1"/>
  <c r="H33" i="18" s="1"/>
  <c r="H29" i="17"/>
  <c r="H28" i="17"/>
  <c r="H30" i="17" s="1"/>
  <c r="H30" i="16"/>
  <c r="H32" i="16" s="1"/>
  <c r="H27" i="15"/>
  <c r="H29" i="15" s="1"/>
  <c r="H31" i="15" s="1"/>
  <c r="H32" i="18" l="1"/>
  <c r="H34" i="18" s="1"/>
  <c r="H31" i="16"/>
  <c r="H33" i="16" s="1"/>
  <c r="H30" i="15"/>
  <c r="H32" i="15" s="1"/>
  <c r="H22" i="13"/>
  <c r="H21" i="13"/>
  <c r="H20" i="13"/>
  <c r="H19" i="13"/>
  <c r="H19" i="11"/>
  <c r="H28" i="11" s="1"/>
  <c r="H30" i="11" s="1"/>
  <c r="H20" i="9"/>
  <c r="H19" i="9"/>
  <c r="H19" i="8"/>
  <c r="H27" i="8" s="1"/>
  <c r="H29" i="8" s="1"/>
  <c r="H20" i="6"/>
  <c r="H19" i="6"/>
  <c r="H20" i="5"/>
  <c r="H27" i="5" s="1"/>
  <c r="H29" i="5" s="1"/>
  <c r="H25" i="13" l="1"/>
  <c r="H27" i="13" s="1"/>
  <c r="H29" i="13" s="1"/>
  <c r="H32" i="11"/>
  <c r="H31" i="11"/>
  <c r="H27" i="9"/>
  <c r="H29" i="9" s="1"/>
  <c r="H31" i="9" s="1"/>
  <c r="H31" i="8"/>
  <c r="H30" i="8"/>
  <c r="H27" i="6"/>
  <c r="H29" i="6" s="1"/>
  <c r="H31" i="6" s="1"/>
  <c r="H31" i="5"/>
  <c r="H30" i="5"/>
  <c r="H32" i="5" s="1"/>
  <c r="H28" i="13" l="1"/>
  <c r="H30" i="13"/>
  <c r="H33" i="11"/>
  <c r="H30" i="9"/>
  <c r="H32" i="9" s="1"/>
  <c r="H32" i="8"/>
  <c r="H30" i="6"/>
  <c r="H32" i="6"/>
  <c r="H22" i="4"/>
  <c r="H21" i="4"/>
  <c r="H20" i="4"/>
  <c r="H19" i="4"/>
  <c r="H24" i="3"/>
  <c r="H23" i="3"/>
  <c r="H22" i="3"/>
  <c r="H21" i="3"/>
  <c r="H20" i="3"/>
  <c r="H19" i="3"/>
  <c r="H23" i="1"/>
  <c r="H22" i="1"/>
  <c r="H21" i="1"/>
  <c r="H20" i="1"/>
  <c r="H19" i="1"/>
  <c r="H27" i="4" l="1"/>
  <c r="H29" i="4" s="1"/>
  <c r="H31" i="4" s="1"/>
  <c r="H28" i="1"/>
  <c r="H30" i="1" s="1"/>
  <c r="H32" i="1" s="1"/>
  <c r="H26" i="3"/>
  <c r="H28" i="3" s="1"/>
  <c r="H29" i="3" s="1"/>
  <c r="H30" i="3"/>
  <c r="H30" i="4" l="1"/>
  <c r="H32" i="4" s="1"/>
  <c r="H31" i="1"/>
  <c r="H33" i="1"/>
  <c r="H31" i="3"/>
</calcChain>
</file>

<file path=xl/sharedStrings.xml><?xml version="1.0" encoding="utf-8"?>
<sst xmlns="http://schemas.openxmlformats.org/spreadsheetml/2006/main" count="900" uniqueCount="233">
  <si>
    <t>TAX INVOICE</t>
  </si>
  <si>
    <t>MURLI STEEL CORPORATION</t>
  </si>
  <si>
    <t>Original for Buyer/ Seller/ Transporter</t>
  </si>
  <si>
    <t>9/12, Lal Bazar Street, Mercantile Building, 'B' Block, 1st Floor, Kolkata - 700001, India</t>
  </si>
  <si>
    <t>Phone: (033) 2210 1650 | Mobile: 9830242818 | Email: shradkakrania@gmail.com</t>
  </si>
  <si>
    <t>PAN: AKAPK4846L  |  GSTIN: 19AKAPK4846L1ZS</t>
  </si>
  <si>
    <t>BILLED TO PARTY</t>
  </si>
  <si>
    <t>INVOICE DETAILS</t>
  </si>
  <si>
    <t xml:space="preserve">Name: </t>
  </si>
  <si>
    <t>Lagan Engineering Co. Ltd.</t>
  </si>
  <si>
    <t>Invoice No.:</t>
  </si>
  <si>
    <t>MSC/10/2026-27</t>
  </si>
  <si>
    <t xml:space="preserve">Address: </t>
  </si>
  <si>
    <t>14 KYD Street, Kolkata - 700016</t>
  </si>
  <si>
    <t>Invoice Date:</t>
  </si>
  <si>
    <t xml:space="preserve">GSTIN: </t>
  </si>
  <si>
    <t>19AAACT9986F1ZP</t>
  </si>
  <si>
    <t>Payment Terms</t>
  </si>
  <si>
    <t>PROFORMA INVOICE</t>
  </si>
  <si>
    <t xml:space="preserve">Order No. </t>
  </si>
  <si>
    <t>P/2627/1111 &amp; 1112</t>
  </si>
  <si>
    <t>Place of Supply:</t>
  </si>
  <si>
    <t>West Bengal</t>
  </si>
  <si>
    <t xml:space="preserve">Order Date </t>
  </si>
  <si>
    <t xml:space="preserve">State:      </t>
  </si>
  <si>
    <t xml:space="preserve">West Bengal </t>
  </si>
  <si>
    <t>Code: 19</t>
  </si>
  <si>
    <t>SN</t>
  </si>
  <si>
    <t>Item Code</t>
  </si>
  <si>
    <t>Description</t>
  </si>
  <si>
    <t>HSN Code</t>
  </si>
  <si>
    <t>No. of Pcs.</t>
  </si>
  <si>
    <t>Qty (kg)</t>
  </si>
  <si>
    <t>Rate (INR/kg)</t>
  </si>
  <si>
    <t>Taxable Value (INR)</t>
  </si>
  <si>
    <t>09112BL</t>
  </si>
  <si>
    <t>09113BL</t>
  </si>
  <si>
    <t>09115BL</t>
  </si>
  <si>
    <t>09158BL</t>
  </si>
  <si>
    <t>BRIGHT M.S. GB 45MM DIA. TOLERANCE ON DIA.</t>
  </si>
  <si>
    <t>09283BL</t>
  </si>
  <si>
    <t>Total Amount Before Tax</t>
  </si>
  <si>
    <t>Delivery Charges</t>
  </si>
  <si>
    <t>Taxable Value</t>
  </si>
  <si>
    <t>Add: CGST @ 9%</t>
  </si>
  <si>
    <t>Add: SGST @ 9%</t>
  </si>
  <si>
    <t>Grand Total</t>
  </si>
  <si>
    <t>Certified that the particulars given above are true and correct.</t>
  </si>
  <si>
    <t>Bank:</t>
  </si>
  <si>
    <t>HDFC Bank Ltd.</t>
  </si>
  <si>
    <t>For MURLI STEEL CORPORATION</t>
  </si>
  <si>
    <t>A/c No.:</t>
  </si>
  <si>
    <t>Branch:</t>
  </si>
  <si>
    <t>Sree Bhumi</t>
  </si>
  <si>
    <t>IFSC:</t>
  </si>
  <si>
    <t>HDFC0004566</t>
  </si>
  <si>
    <t>Authorised Signatory</t>
  </si>
  <si>
    <t>Terms: Goods once sold will not be taken back. Interest may be charged on delayed payment. Subject to Kolkata jurisdiction.</t>
  </si>
  <si>
    <t>E &amp; O.E.</t>
  </si>
  <si>
    <t>MSC/09/2026-27</t>
  </si>
  <si>
    <t>09822BL</t>
  </si>
  <si>
    <t>BRIGHT CK45 STEEL - 2.1/4" DIA. GB TOL ON OD +0.014"/+0.018", HARDNESS 204 TO 249 BHN</t>
  </si>
  <si>
    <t>09824BL</t>
  </si>
  <si>
    <t>BRIGHT CK45 STEEL - 2" DIA. GB TOL ON OD +0.014"/+0.018", HARDNESS 204 TO 249 BHN</t>
  </si>
  <si>
    <t>09816BL</t>
  </si>
  <si>
    <t>1.3/8" DIA BRIGHT CLASS IV STEEL (G.B) TOL ON DIA +0.008"/+0.012"</t>
  </si>
  <si>
    <t>09463BL</t>
  </si>
  <si>
    <t>EN-36 BLACK ROUND 65MM DIA.</t>
  </si>
  <si>
    <t>09464BL</t>
  </si>
  <si>
    <t>EN-36 BLACK ROUND 75MM DIA.</t>
  </si>
  <si>
    <t>09465BL</t>
  </si>
  <si>
    <t>EN-36 BLACK ROUND 85MM DIA.</t>
  </si>
  <si>
    <t xml:space="preserve">BRIGHT M.S. 1.1/2" DIA. TOLERANCE ON DIA. -0.002"/-0.005". LENGTH: 18-20 FEET </t>
  </si>
  <si>
    <t xml:space="preserve">BRIGHT M.S. 2.1/2" DIA. TOLERANCE ON DIA. -0.001"/-0.005". LENGTH: 8-12 FT </t>
  </si>
  <si>
    <t>BRIGHT M.S. 2" DIA. TOLERANCE ON DIA. +0.005"/+0.008". LENGTH: 18.5 FEET  G.B</t>
  </si>
  <si>
    <t xml:space="preserve">BRIGHT M.S. 1.3/4" DIA. TOLERANCE ON DIA. -0.002"/-0.005". LENGTH: 19-20 FEET </t>
  </si>
  <si>
    <t>Transport:  Lorry</t>
  </si>
  <si>
    <t>Vehicel No. :  WB41E 9287</t>
  </si>
  <si>
    <t>Total Invoice Amount in Words: Rupees  Four Lakh Eighty-Nine Thousand Eight Hundred Two Rupees and Sixty-Six Paise Only</t>
  </si>
  <si>
    <t>Delivery At: Lagan Engineering Co. Ltd., c/o Angus Jute Mills, Bhadeshwar, W.B.</t>
  </si>
  <si>
    <t>P/2627/1126</t>
  </si>
  <si>
    <t>Delivery At:  Lagan Engineering Co. Ltd., c/o Angus Jute Mills, Bhadeshwar, W.B.</t>
  </si>
  <si>
    <t>Total Invoice Amount in Words: Rupees Two Lakh Seventy-Two Thousand One Hundred Twenty-Eight and Six Paise Only.</t>
  </si>
  <si>
    <t xml:space="preserve">Bank Details : </t>
  </si>
  <si>
    <t>PAN: ΑΚΑΡΚ4846L  |  GSTIN: 19AKAPK4846L1ZS</t>
  </si>
  <si>
    <t>Birla Corporation Ltd., Unit Birla Jute Mill</t>
  </si>
  <si>
    <t>MSC/05/2026-27</t>
  </si>
  <si>
    <t>9/1 R.N. Mukherjee Road, Kolkata 700001</t>
  </si>
  <si>
    <t>19AABCB2075J1ZN</t>
  </si>
  <si>
    <t>30 DAYS</t>
  </si>
  <si>
    <t>CP/2627/00018</t>
  </si>
  <si>
    <r>
      <rPr>
        <b/>
        <sz val="11"/>
        <color theme="1"/>
        <rFont val="Calibri"/>
        <family val="2"/>
        <scheme val="minor"/>
      </rPr>
      <t>Code</t>
    </r>
    <r>
      <rPr>
        <sz val="11"/>
        <color theme="1"/>
        <rFont val="Calibri"/>
        <family val="2"/>
        <scheme val="minor"/>
      </rPr>
      <t>: 19</t>
    </r>
  </si>
  <si>
    <t>Delivery At:       Birla Jute Mill, P.O.Birlapur, 24 Parganas, West Bengal</t>
  </si>
  <si>
    <t xml:space="preserve">Transport:  </t>
  </si>
  <si>
    <t>Lorry</t>
  </si>
  <si>
    <t xml:space="preserve">Vehicel No. :  </t>
  </si>
  <si>
    <t>WB25E-8483</t>
  </si>
  <si>
    <t>M.S. Angle 40 x 40 x 6 mm</t>
  </si>
  <si>
    <t>Total Invoice Amount in Words: Rupees Thirty Nine Thousand Seven Hundred Sixty Six Only</t>
  </si>
  <si>
    <t>`</t>
  </si>
  <si>
    <t>MSC/11/2026-27</t>
  </si>
  <si>
    <t>GN/2627/00737</t>
  </si>
  <si>
    <t>G.I. FLAT 50 x 6 MM</t>
  </si>
  <si>
    <t>G.I. FLAT 25 x 3 MM</t>
  </si>
  <si>
    <t>G.I. FLAT 25 x 6 MM</t>
  </si>
  <si>
    <t>G.I. FLAT 40 x 6 MM</t>
  </si>
  <si>
    <t>MSC/12/2026-27</t>
  </si>
  <si>
    <t>GN/2627/00734</t>
  </si>
  <si>
    <t xml:space="preserve">M.S. BRIGHT 1/4" DIA </t>
  </si>
  <si>
    <t xml:space="preserve">M.S. BRIGHT 3/16" DIA </t>
  </si>
  <si>
    <t>Vehicel No. :  WB-25F-3703</t>
  </si>
  <si>
    <t>00082000057539</t>
  </si>
  <si>
    <t>Total Invoice Amount in Words:  Rupees Sixty-six thousand one hundred ninety-three and seventy-five paise Only.</t>
  </si>
  <si>
    <t>Total Invoice Amount in Words: Twelve Thousand Eight Hundred Thirty-Eight and Forty Paise Only.</t>
  </si>
  <si>
    <t>MSC/14/2026-27</t>
  </si>
  <si>
    <t>CP/2627/00133</t>
  </si>
  <si>
    <t>M.S. PLATE 12 MM THICK</t>
  </si>
  <si>
    <t>Total Invoice Amount in Words: Rupees  One Lakh Fifteen Thousand Five Hundred Fourteen and Sixty-Three Paise Only.</t>
  </si>
  <si>
    <t>Vehicel No. :  WB 25F 3703</t>
  </si>
  <si>
    <t>MSC/13/2026-27</t>
  </si>
  <si>
    <t>GN/2627/00950</t>
  </si>
  <si>
    <t>M.S CHANNEL 3' x 1.1/2'</t>
  </si>
  <si>
    <t>M.S. FLAT 50 x 12 MM</t>
  </si>
  <si>
    <t>Total Invoice Amount in Words: Rupees Seventeen thousand three hundred thirty-six and fifty-six paise only.</t>
  </si>
  <si>
    <t>TAX INVOICE / CREDIT NOTE</t>
  </si>
  <si>
    <t>MSC/CN/01/2026-27</t>
  </si>
  <si>
    <t>Total Invoice Amount in Words: Rupees  One Thousand One Hundred Twenty-Eight Rupees and Thirty-Eight Paise only.</t>
  </si>
  <si>
    <t>M.S. PLATE 12 MM THICK *</t>
  </si>
  <si>
    <t>* Being the material received short at your end against bill no. MSC/14/2026-27 dated 21-06-2026.</t>
  </si>
  <si>
    <t>MSC/16/2026-27</t>
  </si>
  <si>
    <t>P/2627/1388</t>
  </si>
  <si>
    <t>Vehicel No. :  WB 15C 3317</t>
  </si>
  <si>
    <t>Sl No.</t>
  </si>
  <si>
    <t>Part No</t>
  </si>
  <si>
    <t>Item Description</t>
  </si>
  <si>
    <t>BRIGHT M.S. 1.3/4" DIA. TOLERANCE ON DIA. -0.002"/-0.005". LENGTH: 19-20 FEET (En3B-BS970:1955)</t>
  </si>
  <si>
    <t>09118BL</t>
  </si>
  <si>
    <t>BRIGHT M.S. 1/2" DIA. TOLERANCE ON DIA. -0.001"/-0.003". LENGTH: 18-20 FEET (En3B-BS970:1955)</t>
  </si>
  <si>
    <t>09119BL</t>
  </si>
  <si>
    <t>BRIGHT M.S. 5/8" DIA. TOLERANCE ON DIA. -0.001"/-0.003". LENGTH: 18-20 FEET (En3B-BS970:1955)</t>
  </si>
  <si>
    <t>09304BL</t>
  </si>
  <si>
    <t>BRIGHT M.S. 7/8" DIA. TOLERANCE ON DIA. -0.001"/-0.003". LENGTH: 11-15 FEET (En3B-BS970:1955)</t>
  </si>
  <si>
    <t>09336BL</t>
  </si>
  <si>
    <t>BRIGHT M.S. FLAT 1" X 1/2" (25X12MM)</t>
  </si>
  <si>
    <t>BRIGHT M.S. 2" DIA. TOLERANCE ON DIA. +0.005"/+0.008". LENGTH: 18.5 FEET (En3B-BS970:1955)</t>
  </si>
  <si>
    <t>09114BL</t>
  </si>
  <si>
    <t>BRIGHT M.S. 2.1/4" DIA. TOLERANCE ON DIA. +0.005"/+0.008". LENGTH: 18.5 FEET (En3B-BS970:1955)</t>
  </si>
  <si>
    <t>BRIGHT M.S. 1.1/2" DIA. TOLERANCE ON DIA. -0.002"/-0.005". LENGTH: 18-20 FEET (En3B-BS970:1955)</t>
  </si>
  <si>
    <t>09850BL</t>
  </si>
  <si>
    <t>2.204" DIA. BRIGHT MS BAR - DIA. TOLERANCE +0.005"/+0.008" (En3B-BS970:1955)</t>
  </si>
  <si>
    <t>09831BL</t>
  </si>
  <si>
    <t>BRIGHT MS 3" DIA. TOLERANCE +000/-0.004". LENGTH: 8 TO 10 FEET (En3B-BS970:1955)</t>
  </si>
  <si>
    <t>09110BL</t>
  </si>
  <si>
    <t>BRIGHT M.S. 1" DIA. TOLERANCE -0.005"/-0.008". LENGTH: 8-12 FT (En3B-BS970:1955)</t>
  </si>
  <si>
    <t>09111BL</t>
  </si>
  <si>
    <t>BRIGHT MS 1.1/4" DIA. TOLERANCE -0.002"/-0.005". LENGTH: 20-21 FEET (En3B-BS970:1955)</t>
  </si>
  <si>
    <t>09337BL</t>
  </si>
  <si>
    <t>BRIGHT M.S. 3/4" DIA. TOLERANCE -0.001"/-0.003". LENGTH: 8-12 FT (En3B-BS970:1955)</t>
  </si>
  <si>
    <t>09375BL</t>
  </si>
  <si>
    <t>BRIGHT M.S. GB 1.3/4" DIA. TOLERANCE +0.008"/+0.012". LENGTH: 19-20 FEET (En3B-BS970:1955)</t>
  </si>
  <si>
    <t>09376BL</t>
  </si>
  <si>
    <t>BRIGHT M.S. 1.1/8" DIA. TOLERANCE -0.002"/-0.005". LENGTH: 18-20 FEET (En3B-BS970:1955)</t>
  </si>
  <si>
    <t>09828BL</t>
  </si>
  <si>
    <t>BRIGHT CK45 - 1.5/8" DIA. GB(SPECIAL), TOL ON O/D +0.004"/+0.006", HARDNESS 204-249BHN</t>
  </si>
  <si>
    <t>09083BL</t>
  </si>
  <si>
    <t>BRIGHT M.S. 1.31/32" (50MM) DIA. TOLERANCE -0.001"/-0.004" (En3B-BS970:1955)</t>
  </si>
  <si>
    <t>09823BL</t>
  </si>
  <si>
    <t>BRIGHT CK45 STEEL - 2.1/2" DIA. GB TOL ON O/D +0.014"/+0.018"</t>
  </si>
  <si>
    <t>09307BL</t>
  </si>
  <si>
    <t>0.820" A/F HEXAGONAL BR. MS BAR (En3B-BS970:1955)</t>
  </si>
  <si>
    <t>09394BL</t>
  </si>
  <si>
    <t>BLACK M.S. FLAT 40 X 12 MM</t>
  </si>
  <si>
    <t>09428BL</t>
  </si>
  <si>
    <t>BLACK M.S. FLAT 50 X 12 MM</t>
  </si>
  <si>
    <t>09246BL</t>
  </si>
  <si>
    <t>M.S. CHANNEL 3" X 1.1/2" (75X40MM), LENGTH: 20-22 FT</t>
  </si>
  <si>
    <t>09256BL</t>
  </si>
  <si>
    <t>M.S. CHANNEL 4" X 2" (100X50MM), LENGTH: 18 FT</t>
  </si>
  <si>
    <t>09427BL</t>
  </si>
  <si>
    <t>M.S. ANGLE 3" X 3" X 1/4" (75X75X6 MM), LENGTH: 18-20 FT</t>
  </si>
  <si>
    <t>09437BL</t>
  </si>
  <si>
    <t>BLACK M.S. ROUND 100 MM DIA - HARDNESS 150 TO 180 BHN (En3B-BS970:1955)</t>
  </si>
  <si>
    <t>09380BL</t>
  </si>
  <si>
    <t>BLACK M.S. 125 MM DIA - HARDNESS 150 TO 180 BHN (En3B-BS970:1955)</t>
  </si>
  <si>
    <t>09442BL</t>
  </si>
  <si>
    <t>EN31 FLAT 40 X 25 MM</t>
  </si>
  <si>
    <t>09451BL</t>
  </si>
  <si>
    <t>EN31 FLAT 40 X 20 MM</t>
  </si>
  <si>
    <t>09423BL</t>
  </si>
  <si>
    <t>SEAMLESS STEEL TUBE 1.15/16" X 1.1/2"</t>
  </si>
  <si>
    <t xml:space="preserve">105MM CARBON STEEL En-8 ROUND </t>
  </si>
  <si>
    <t>09516BL</t>
  </si>
  <si>
    <t>85MM DIA. EN-8 ROUND</t>
  </si>
  <si>
    <t>09517BL</t>
  </si>
  <si>
    <t>75MM DIA. EN-8 ROUND</t>
  </si>
  <si>
    <t>61131BL</t>
  </si>
  <si>
    <t>70MM DIA. EN-8 ROUND</t>
  </si>
  <si>
    <t>09520BL</t>
  </si>
  <si>
    <t>65MM EN8 ROUND BAR</t>
  </si>
  <si>
    <t>09330BL</t>
  </si>
  <si>
    <t>DIA 130 MM EN-24 BLACK ROUND BAR</t>
  </si>
  <si>
    <t>09329BL</t>
  </si>
  <si>
    <t>DIA 110 MM EN-24 BLACK ROUND BAR</t>
  </si>
  <si>
    <t>09326BL</t>
  </si>
  <si>
    <t>DIA 90 MM EN-24 BLACK ROUND BAR</t>
  </si>
  <si>
    <t>M.S. FLAT BLACK  50 X 12 MM</t>
  </si>
  <si>
    <t>MSC/15/2026-27</t>
  </si>
  <si>
    <t>M.S. CHANNEL 3" X 1.1/2" (75X40MM)</t>
  </si>
  <si>
    <t>Total Invoice Amount in Words: Three Lakh Fifty-Five Thousand One Hundred Sixty-Eight Rupees and Twenty Paise ONLY.</t>
  </si>
  <si>
    <t>TOTAL WEIGHT:</t>
  </si>
  <si>
    <t>Total Invoice Amount in Words: Rupees  Two Lakh Eighty-Three Thousand Seven Hundred Sixty-One Rupees and Sixty-Eight Paise Only</t>
  </si>
  <si>
    <t xml:space="preserve"> </t>
  </si>
  <si>
    <t>TOTAL WEIGHT</t>
  </si>
  <si>
    <t>MSC/PI03/2026-27</t>
  </si>
  <si>
    <t>09332BL</t>
  </si>
  <si>
    <t>BRIGHT M.S. GB 5/8" DIA. TOLERANCE +0.008"/+0.012"</t>
  </si>
  <si>
    <t>Total Invoice Amount in Words: Eight Lakh Ten Thousand Six Hundred Sixty-Five Rupees and Ninety Paise only.</t>
  </si>
  <si>
    <t>MSC/18/2026-27</t>
  </si>
  <si>
    <t>TELEPHONIC</t>
  </si>
  <si>
    <t>AGAINST DELIVERY</t>
  </si>
  <si>
    <t>Vehicel No. :  NL01 AE 9616</t>
  </si>
  <si>
    <t xml:space="preserve">M.S. ANGLE </t>
  </si>
  <si>
    <t>M.S. CHANNEL</t>
  </si>
  <si>
    <t>M.S. SQUARE</t>
  </si>
  <si>
    <t>MSC/19/2026-27</t>
  </si>
  <si>
    <t>PROFROMA INVOICE</t>
  </si>
  <si>
    <t>Vehicel No. :  WB 15C 5843</t>
  </si>
  <si>
    <t>Total Invoice Amount in Words: Eight Lakh Four Thousand Four Hundred Eighty-Three Rupees and Eighty-Eight Paise only.</t>
  </si>
  <si>
    <t>TOTAL:</t>
  </si>
  <si>
    <t>G.I. FLAT 50 X 6mm</t>
  </si>
  <si>
    <t>G.I. FLAT 25 X 3mm</t>
  </si>
  <si>
    <t>G.I. FLAT 19 X 3mm</t>
  </si>
  <si>
    <t>G.I. FLAT 25 X 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</si>
</sst>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\-mm\-yyyy"/>
    <numFmt numFmtId="165" formatCode="_ * #,##0.00_ ;_ * \-#,##0.00_ ;_ * \-??_ ;_ @_ "/>
  </numFmts>
  <fonts count="33" x14ac:knownFonts="1">
    <font>
      <sz val="11"/>
      <color theme="1"/>
      <name val="Calibri"/>
      <family val="2"/>
      <charset val="1"/>
    </font>
    <font>
      <b/>
      <sz val="10"/>
      <color rgb="FF000000"/>
      <name val="Arial"/>
      <family val="2"/>
    </font>
    <font>
      <sz val="11"/>
      <name val="Arial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b/>
      <sz val="11"/>
      <name val="Arial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name val="Calibri"/>
      <family val="2"/>
    </font>
    <font>
      <b/>
      <sz val="9"/>
      <name val="Arial"/>
      <family val="2"/>
    </font>
    <font>
      <b/>
      <i/>
      <sz val="12"/>
      <name val="Calibri"/>
      <family val="2"/>
    </font>
    <font>
      <b/>
      <sz val="12"/>
      <color rgb="FFFFFFFF"/>
      <name val="Calibri"/>
      <family val="2"/>
    </font>
    <font>
      <b/>
      <sz val="22"/>
      <color rgb="FF000000"/>
      <name val="Calibri"/>
      <family val="2"/>
    </font>
    <font>
      <b/>
      <sz val="13"/>
      <color rgb="FF000000"/>
      <name val="Calibri"/>
      <family val="2"/>
      <scheme val="minor"/>
    </font>
    <font>
      <b/>
      <i/>
      <sz val="11"/>
      <name val="Calibri"/>
      <family val="2"/>
    </font>
    <font>
      <b/>
      <sz val="11"/>
      <color theme="0"/>
      <name val="Calibri"/>
      <family val="2"/>
    </font>
    <font>
      <b/>
      <sz val="18"/>
      <color theme="0"/>
      <name val="Calibri"/>
      <family val="2"/>
    </font>
    <font>
      <b/>
      <sz val="14"/>
      <color rgb="FF000000"/>
      <name val="Calibri"/>
      <family val="2"/>
    </font>
    <font>
      <b/>
      <i/>
      <sz val="10"/>
      <color rgb="FF000000"/>
      <name val="Arial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4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8F8F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rgb="FF1F4E78"/>
      </patternFill>
    </fill>
    <fill>
      <patternFill patternType="solid">
        <fgColor rgb="FF00206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002060"/>
        <bgColor rgb="FFD9E1F2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dashed">
        <color rgb="FF0000FF"/>
      </bottom>
      <diagonal/>
    </border>
    <border>
      <left style="thin">
        <color auto="1"/>
      </left>
      <right/>
      <top/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thin">
        <color rgb="FF002060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indexed="64"/>
      </bottom>
      <diagonal/>
    </border>
    <border>
      <left style="thin">
        <color rgb="FF002060"/>
      </left>
      <right style="medium">
        <color rgb="FF002060"/>
      </right>
      <top/>
      <bottom style="thin">
        <color indexed="64"/>
      </bottom>
      <diagonal/>
    </border>
    <border>
      <left style="medium">
        <color rgb="FF002060"/>
      </left>
      <right style="thin">
        <color rgb="FF002060"/>
      </right>
      <top style="thin">
        <color indexed="64"/>
      </top>
      <bottom/>
      <diagonal/>
    </border>
    <border>
      <left style="thin">
        <color rgb="FF002060"/>
      </left>
      <right style="thin">
        <color rgb="FF002060"/>
      </right>
      <top style="thin">
        <color indexed="64"/>
      </top>
      <bottom/>
      <diagonal/>
    </border>
    <border>
      <left style="thin">
        <color rgb="FF002060"/>
      </left>
      <right style="medium">
        <color rgb="FF002060"/>
      </right>
      <top style="thin">
        <color indexed="64"/>
      </top>
      <bottom/>
      <diagonal/>
    </border>
    <border>
      <left style="medium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/>
      <bottom style="medium">
        <color rgb="FF002060"/>
      </bottom>
      <diagonal/>
    </border>
  </borders>
  <cellStyleXfs count="4">
    <xf numFmtId="0" fontId="0" fillId="0" borderId="0"/>
    <xf numFmtId="0" fontId="7" fillId="0" borderId="0"/>
    <xf numFmtId="0" fontId="25" fillId="0" borderId="0"/>
    <xf numFmtId="43" fontId="27" fillId="0" borderId="0" applyFont="0" applyFill="0" applyBorder="0" applyAlignment="0" applyProtection="0"/>
  </cellStyleXfs>
  <cellXfs count="20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" fontId="3" fillId="0" borderId="1" xfId="0" applyNumberFormat="1" applyFont="1" applyBorder="1"/>
    <xf numFmtId="4" fontId="3" fillId="4" borderId="1" xfId="0" applyNumberFormat="1" applyFont="1" applyFill="1" applyBorder="1"/>
    <xf numFmtId="4" fontId="6" fillId="4" borderId="1" xfId="0" applyNumberFormat="1" applyFont="1" applyFill="1" applyBorder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5" fillId="5" borderId="6" xfId="0" applyFont="1" applyFill="1" applyBorder="1" applyAlignment="1">
      <alignment vertical="center"/>
    </xf>
    <xf numFmtId="0" fontId="0" fillId="5" borderId="0" xfId="0" applyFill="1"/>
    <xf numFmtId="0" fontId="2" fillId="5" borderId="0" xfId="0" applyFont="1" applyFill="1" applyAlignment="1">
      <alignment horizontal="left" vertical="center"/>
    </xf>
    <xf numFmtId="164" fontId="2" fillId="5" borderId="0" xfId="0" applyNumberFormat="1" applyFont="1" applyFill="1" applyAlignment="1">
      <alignment horizontal="left" vertical="center"/>
    </xf>
    <xf numFmtId="0" fontId="0" fillId="6" borderId="0" xfId="0" applyFill="1"/>
    <xf numFmtId="0" fontId="0" fillId="6" borderId="7" xfId="0" applyFill="1" applyBorder="1"/>
    <xf numFmtId="0" fontId="5" fillId="5" borderId="8" xfId="0" applyFont="1" applyFill="1" applyBorder="1" applyAlignment="1">
      <alignment vertical="center"/>
    </xf>
    <xf numFmtId="0" fontId="2" fillId="5" borderId="9" xfId="0" applyFont="1" applyFill="1" applyBorder="1" applyAlignment="1">
      <alignment horizontal="right" vertical="center"/>
    </xf>
    <xf numFmtId="0" fontId="2" fillId="5" borderId="9" xfId="0" applyFont="1" applyFill="1" applyBorder="1" applyAlignment="1">
      <alignment horizontal="center" vertical="center"/>
    </xf>
    <xf numFmtId="0" fontId="0" fillId="5" borderId="9" xfId="0" applyFill="1" applyBorder="1"/>
    <xf numFmtId="0" fontId="3" fillId="6" borderId="2" xfId="0" applyFont="1" applyFill="1" applyBorder="1" applyAlignment="1">
      <alignment vertical="center"/>
    </xf>
    <xf numFmtId="0" fontId="0" fillId="6" borderId="11" xfId="0" applyFill="1" applyBorder="1"/>
    <xf numFmtId="0" fontId="5" fillId="6" borderId="11" xfId="0" applyFont="1" applyFill="1" applyBorder="1" applyAlignment="1">
      <alignment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7" fillId="0" borderId="0" xfId="1" applyAlignment="1">
      <alignment horizontal="left"/>
    </xf>
    <xf numFmtId="0" fontId="7" fillId="0" borderId="0" xfId="1"/>
    <xf numFmtId="0" fontId="7" fillId="0" borderId="18" xfId="1" applyBorder="1"/>
    <xf numFmtId="0" fontId="7" fillId="0" borderId="17" xfId="1" applyBorder="1"/>
    <xf numFmtId="0" fontId="9" fillId="0" borderId="19" xfId="1" applyFont="1" applyBorder="1" applyAlignment="1">
      <alignment horizontal="right"/>
    </xf>
    <xf numFmtId="0" fontId="7" fillId="0" borderId="21" xfId="1" applyBorder="1"/>
    <xf numFmtId="0" fontId="7" fillId="0" borderId="23" xfId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8" fillId="0" borderId="16" xfId="1" applyFont="1" applyBorder="1"/>
    <xf numFmtId="0" fontId="7" fillId="0" borderId="20" xfId="1" applyBorder="1"/>
    <xf numFmtId="0" fontId="7" fillId="0" borderId="22" xfId="1" applyBorder="1"/>
    <xf numFmtId="0" fontId="14" fillId="2" borderId="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left" vertical="center"/>
    </xf>
    <xf numFmtId="0" fontId="20" fillId="0" borderId="20" xfId="1" applyFont="1" applyBorder="1" applyAlignment="1">
      <alignment horizontal="center" vertical="center" wrapText="1"/>
    </xf>
    <xf numFmtId="0" fontId="21" fillId="0" borderId="21" xfId="1" applyFont="1" applyBorder="1" applyAlignment="1">
      <alignment horizontal="right"/>
    </xf>
    <xf numFmtId="0" fontId="10" fillId="11" borderId="20" xfId="1" applyFont="1" applyFill="1" applyBorder="1" applyAlignment="1">
      <alignment vertical="center"/>
    </xf>
    <xf numFmtId="0" fontId="7" fillId="11" borderId="0" xfId="1" applyFill="1" applyAlignment="1">
      <alignment vertical="center"/>
    </xf>
    <xf numFmtId="14" fontId="7" fillId="11" borderId="0" xfId="1" applyNumberFormat="1" applyFill="1" applyAlignment="1">
      <alignment horizontal="left" vertical="center"/>
    </xf>
    <xf numFmtId="0" fontId="10" fillId="11" borderId="22" xfId="1" applyFont="1" applyFill="1" applyBorder="1" applyAlignment="1">
      <alignment vertical="center"/>
    </xf>
    <xf numFmtId="0" fontId="7" fillId="11" borderId="23" xfId="1" applyFill="1" applyBorder="1" applyAlignment="1">
      <alignment horizontal="right" vertical="center"/>
    </xf>
    <xf numFmtId="0" fontId="7" fillId="11" borderId="23" xfId="1" applyFill="1" applyBorder="1" applyAlignment="1">
      <alignment horizontal="center" vertical="center"/>
    </xf>
    <xf numFmtId="0" fontId="7" fillId="11" borderId="23" xfId="1" applyFill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7" fillId="0" borderId="14" xfId="1" applyBorder="1" applyAlignment="1">
      <alignment vertical="center"/>
    </xf>
    <xf numFmtId="0" fontId="10" fillId="0" borderId="14" xfId="1" applyFont="1" applyBorder="1" applyAlignment="1">
      <alignment vertical="center"/>
    </xf>
    <xf numFmtId="0" fontId="7" fillId="0" borderId="14" xfId="1" applyBorder="1" applyAlignment="1">
      <alignment horizontal="center" vertical="center"/>
    </xf>
    <xf numFmtId="0" fontId="7" fillId="0" borderId="15" xfId="1" applyBorder="1" applyAlignment="1">
      <alignment horizontal="center" vertical="center"/>
    </xf>
    <xf numFmtId="0" fontId="24" fillId="7" borderId="1" xfId="1" applyFont="1" applyFill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26" fillId="0" borderId="25" xfId="2" applyFont="1" applyBorder="1" applyAlignment="1">
      <alignment horizontal="center" vertical="center"/>
    </xf>
    <xf numFmtId="0" fontId="7" fillId="0" borderId="1" xfId="1" applyBorder="1" applyAlignment="1">
      <alignment horizontal="left" vertical="center" wrapText="1"/>
    </xf>
    <xf numFmtId="43" fontId="7" fillId="0" borderId="1" xfId="3" applyFont="1" applyBorder="1" applyAlignment="1">
      <alignment horizontal="center" vertical="center" wrapText="1"/>
    </xf>
    <xf numFmtId="0" fontId="7" fillId="0" borderId="1" xfId="1" applyBorder="1"/>
    <xf numFmtId="4" fontId="3" fillId="0" borderId="1" xfId="1" applyNumberFormat="1" applyFont="1" applyBorder="1"/>
    <xf numFmtId="4" fontId="3" fillId="6" borderId="1" xfId="1" applyNumberFormat="1" applyFont="1" applyFill="1" applyBorder="1"/>
    <xf numFmtId="4" fontId="6" fillId="6" borderId="1" xfId="1" applyNumberFormat="1" applyFont="1" applyFill="1" applyBorder="1"/>
    <xf numFmtId="0" fontId="18" fillId="0" borderId="0" xfId="1" applyFont="1" applyAlignment="1">
      <alignment horizontal="right" vertical="center" wrapText="1"/>
    </xf>
    <xf numFmtId="0" fontId="8" fillId="0" borderId="0" xfId="1" applyFont="1"/>
    <xf numFmtId="4" fontId="18" fillId="0" borderId="0" xfId="1" applyNumberFormat="1" applyFont="1"/>
    <xf numFmtId="0" fontId="3" fillId="0" borderId="16" xfId="1" applyFont="1" applyBorder="1"/>
    <xf numFmtId="0" fontId="8" fillId="0" borderId="17" xfId="1" applyFont="1" applyBorder="1"/>
    <xf numFmtId="0" fontId="7" fillId="0" borderId="6" xfId="1" applyBorder="1"/>
    <xf numFmtId="0" fontId="7" fillId="0" borderId="23" xfId="1" applyBorder="1"/>
    <xf numFmtId="0" fontId="5" fillId="0" borderId="1" xfId="0" applyFont="1" applyBorder="1" applyAlignment="1">
      <alignment horizontal="center" vertical="center"/>
    </xf>
    <xf numFmtId="49" fontId="7" fillId="0" borderId="0" xfId="1" applyNumberFormat="1" applyAlignment="1">
      <alignment horizontal="left"/>
    </xf>
    <xf numFmtId="0" fontId="4" fillId="2" borderId="3" xfId="0" applyFont="1" applyFill="1" applyBorder="1" applyAlignment="1">
      <alignment horizontal="centerContinuous" vertical="center" wrapText="1"/>
    </xf>
    <xf numFmtId="0" fontId="4" fillId="2" borderId="4" xfId="0" applyFont="1" applyFill="1" applyBorder="1" applyAlignment="1">
      <alignment horizontal="centerContinuous" vertical="center" wrapText="1"/>
    </xf>
    <xf numFmtId="0" fontId="4" fillId="2" borderId="5" xfId="0" applyFont="1" applyFill="1" applyBorder="1" applyAlignment="1">
      <alignment horizontal="centerContinuous" vertical="center" wrapText="1"/>
    </xf>
    <xf numFmtId="0" fontId="15" fillId="3" borderId="6" xfId="0" applyFont="1" applyFill="1" applyBorder="1" applyAlignment="1">
      <alignment horizontal="centerContinuous" vertical="center" wrapText="1"/>
    </xf>
    <xf numFmtId="0" fontId="15" fillId="3" borderId="0" xfId="0" applyFont="1" applyFill="1" applyAlignment="1">
      <alignment horizontal="centerContinuous" vertical="center" wrapText="1"/>
    </xf>
    <xf numFmtId="0" fontId="15" fillId="3" borderId="7" xfId="0" applyFont="1" applyFill="1" applyBorder="1" applyAlignment="1">
      <alignment horizontal="centerContinuous" vertical="center" wrapText="1"/>
    </xf>
    <xf numFmtId="0" fontId="13" fillId="0" borderId="0" xfId="1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9" fillId="8" borderId="27" xfId="2" applyFont="1" applyFill="1" applyBorder="1" applyAlignment="1">
      <alignment horizontal="left"/>
    </xf>
    <xf numFmtId="0" fontId="29" fillId="8" borderId="28" xfId="2" applyFont="1" applyFill="1" applyBorder="1" applyAlignment="1">
      <alignment horizontal="right"/>
    </xf>
    <xf numFmtId="0" fontId="29" fillId="8" borderId="28" xfId="2" applyFont="1" applyFill="1" applyBorder="1" applyAlignment="1">
      <alignment horizontal="center"/>
    </xf>
    <xf numFmtId="0" fontId="29" fillId="8" borderId="29" xfId="2" applyFont="1" applyFill="1" applyBorder="1" applyAlignment="1">
      <alignment horizontal="center"/>
    </xf>
    <xf numFmtId="0" fontId="25" fillId="0" borderId="0" xfId="2"/>
    <xf numFmtId="0" fontId="30" fillId="0" borderId="0" xfId="2" applyFont="1"/>
    <xf numFmtId="0" fontId="25" fillId="0" borderId="30" xfId="2" applyBorder="1"/>
    <xf numFmtId="0" fontId="25" fillId="0" borderId="31" xfId="2" applyBorder="1" applyAlignment="1">
      <alignment horizontal="center" vertical="center"/>
    </xf>
    <xf numFmtId="0" fontId="31" fillId="0" borderId="32" xfId="2" applyFont="1" applyBorder="1" applyAlignment="1">
      <alignment horizontal="right"/>
    </xf>
    <xf numFmtId="0" fontId="31" fillId="0" borderId="32" xfId="2" applyFont="1" applyBorder="1"/>
    <xf numFmtId="0" fontId="25" fillId="0" borderId="33" xfId="2" applyBorder="1" applyAlignment="1">
      <alignment vertical="center"/>
    </xf>
    <xf numFmtId="0" fontId="31" fillId="0" borderId="34" xfId="2" applyFont="1" applyBorder="1" applyAlignment="1">
      <alignment horizontal="right"/>
    </xf>
    <xf numFmtId="0" fontId="31" fillId="0" borderId="35" xfId="2" applyFont="1" applyBorder="1"/>
    <xf numFmtId="0" fontId="25" fillId="0" borderId="36" xfId="2" applyBorder="1" applyAlignment="1">
      <alignment vertical="center"/>
    </xf>
    <xf numFmtId="0" fontId="31" fillId="0" borderId="37" xfId="2" applyFont="1" applyBorder="1" applyAlignment="1">
      <alignment horizontal="right"/>
    </xf>
    <xf numFmtId="0" fontId="31" fillId="0" borderId="38" xfId="2" applyFont="1" applyBorder="1"/>
    <xf numFmtId="0" fontId="25" fillId="0" borderId="39" xfId="2" applyBorder="1"/>
    <xf numFmtId="0" fontId="25" fillId="0" borderId="36" xfId="2" applyBorder="1"/>
    <xf numFmtId="0" fontId="25" fillId="0" borderId="33" xfId="2" applyBorder="1"/>
    <xf numFmtId="0" fontId="31" fillId="0" borderId="27" xfId="2" applyFont="1" applyBorder="1" applyAlignment="1">
      <alignment horizontal="right"/>
    </xf>
    <xf numFmtId="0" fontId="31" fillId="0" borderId="28" xfId="2" applyFont="1" applyBorder="1"/>
    <xf numFmtId="0" fontId="31" fillId="0" borderId="40" xfId="2" applyFont="1" applyBorder="1" applyAlignment="1">
      <alignment horizontal="right"/>
    </xf>
    <xf numFmtId="0" fontId="31" fillId="0" borderId="41" xfId="2" applyFont="1" applyBorder="1" applyAlignment="1">
      <alignment horizontal="right"/>
    </xf>
    <xf numFmtId="0" fontId="31" fillId="0" borderId="41" xfId="2" applyFont="1" applyBorder="1"/>
    <xf numFmtId="0" fontId="25" fillId="0" borderId="42" xfId="2" applyBorder="1"/>
    <xf numFmtId="0" fontId="25" fillId="0" borderId="0" xfId="2" applyAlignment="1">
      <alignment horizontal="left"/>
    </xf>
    <xf numFmtId="165" fontId="5" fillId="6" borderId="1" xfId="0" applyNumberFormat="1" applyFont="1" applyFill="1" applyBorder="1" applyAlignment="1">
      <alignment horizontal="center" vertical="center" wrapText="1"/>
    </xf>
    <xf numFmtId="165" fontId="2" fillId="12" borderId="1" xfId="0" applyNumberFormat="1" applyFont="1" applyFill="1" applyBorder="1" applyAlignment="1">
      <alignment horizontal="center" vertical="center" wrapText="1"/>
    </xf>
    <xf numFmtId="0" fontId="31" fillId="0" borderId="21" xfId="2" applyFont="1" applyBorder="1" applyAlignment="1">
      <alignment horizontal="right"/>
    </xf>
    <xf numFmtId="0" fontId="32" fillId="5" borderId="9" xfId="0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right" vertical="center" wrapText="1"/>
    </xf>
    <xf numFmtId="0" fontId="11" fillId="6" borderId="0" xfId="1" applyFont="1" applyFill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3" fillId="0" borderId="0" xfId="1" applyFont="1" applyAlignment="1">
      <alignment horizontal="right" vertical="center" wrapText="1"/>
    </xf>
    <xf numFmtId="0" fontId="3" fillId="0" borderId="21" xfId="1" applyFont="1" applyBorder="1" applyAlignment="1">
      <alignment horizontal="right" vertical="center" wrapText="1"/>
    </xf>
    <xf numFmtId="0" fontId="7" fillId="0" borderId="0" xfId="1" applyAlignment="1">
      <alignment horizontal="center"/>
    </xf>
    <xf numFmtId="0" fontId="7" fillId="0" borderId="21" xfId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10" fillId="0" borderId="23" xfId="1" applyFont="1" applyBorder="1" applyAlignment="1">
      <alignment horizontal="center"/>
    </xf>
    <xf numFmtId="0" fontId="7" fillId="0" borderId="23" xfId="1" applyBorder="1" applyAlignment="1">
      <alignment horizontal="right"/>
    </xf>
    <xf numFmtId="0" fontId="7" fillId="0" borderId="24" xfId="1" applyBorder="1" applyAlignment="1">
      <alignment horizontal="right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5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7" xfId="0" applyFont="1" applyFill="1" applyBorder="1" applyAlignment="1">
      <alignment vertical="center"/>
    </xf>
    <xf numFmtId="0" fontId="0" fillId="5" borderId="9" xfId="0" applyFill="1" applyBorder="1"/>
    <xf numFmtId="0" fontId="0" fillId="5" borderId="10" xfId="0" applyFill="1" applyBorder="1"/>
    <xf numFmtId="0" fontId="3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7" fillId="0" borderId="13" xfId="1" applyFont="1" applyBorder="1" applyAlignment="1">
      <alignment horizontal="center"/>
    </xf>
    <xf numFmtId="0" fontId="17" fillId="0" borderId="14" xfId="1" applyFont="1" applyBorder="1" applyAlignment="1">
      <alignment horizontal="center"/>
    </xf>
    <xf numFmtId="0" fontId="17" fillId="0" borderId="15" xfId="1" applyFont="1" applyBorder="1" applyAlignment="1">
      <alignment horizontal="center"/>
    </xf>
    <xf numFmtId="164" fontId="2" fillId="5" borderId="0" xfId="0" applyNumberFormat="1" applyFont="1" applyFill="1" applyAlignment="1">
      <alignment horizontal="left" vertical="center"/>
    </xf>
    <xf numFmtId="164" fontId="2" fillId="5" borderId="7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/>
    </xf>
    <xf numFmtId="0" fontId="13" fillId="0" borderId="14" xfId="1" applyFont="1" applyBorder="1" applyAlignment="1">
      <alignment horizontal="center"/>
    </xf>
    <xf numFmtId="0" fontId="13" fillId="0" borderId="15" xfId="1" applyFont="1" applyBorder="1" applyAlignment="1">
      <alignment horizontal="center"/>
    </xf>
    <xf numFmtId="0" fontId="22" fillId="10" borderId="16" xfId="1" applyFont="1" applyFill="1" applyBorder="1" applyAlignment="1">
      <alignment horizontal="center" vertical="center"/>
    </xf>
    <xf numFmtId="0" fontId="23" fillId="8" borderId="17" xfId="1" applyFont="1" applyFill="1" applyBorder="1" applyAlignment="1">
      <alignment horizontal="center" vertical="center"/>
    </xf>
    <xf numFmtId="0" fontId="22" fillId="10" borderId="17" xfId="1" applyFont="1" applyFill="1" applyBorder="1" applyAlignment="1">
      <alignment horizontal="center" vertical="center"/>
    </xf>
    <xf numFmtId="0" fontId="23" fillId="8" borderId="19" xfId="1" applyFont="1" applyFill="1" applyBorder="1" applyAlignment="1">
      <alignment horizontal="center" vertical="center"/>
    </xf>
    <xf numFmtId="0" fontId="19" fillId="7" borderId="16" xfId="1" applyFont="1" applyFill="1" applyBorder="1" applyAlignment="1">
      <alignment horizontal="center" vertical="center" wrapText="1"/>
    </xf>
    <xf numFmtId="0" fontId="8" fillId="8" borderId="17" xfId="1" applyFont="1" applyFill="1" applyBorder="1"/>
    <xf numFmtId="0" fontId="8" fillId="8" borderId="19" xfId="1" applyFont="1" applyFill="1" applyBorder="1"/>
    <xf numFmtId="0" fontId="8" fillId="8" borderId="20" xfId="1" applyFont="1" applyFill="1" applyBorder="1"/>
    <xf numFmtId="0" fontId="8" fillId="8" borderId="0" xfId="1" applyFont="1" applyFill="1"/>
    <xf numFmtId="0" fontId="8" fillId="8" borderId="21" xfId="1" applyFont="1" applyFill="1" applyBorder="1"/>
    <xf numFmtId="0" fontId="20" fillId="9" borderId="20" xfId="1" applyFont="1" applyFill="1" applyBorder="1" applyAlignment="1">
      <alignment horizontal="center" vertical="center" wrapText="1"/>
    </xf>
    <xf numFmtId="0" fontId="7" fillId="0" borderId="0" xfId="1"/>
    <xf numFmtId="0" fontId="7" fillId="0" borderId="21" xfId="1" applyBorder="1"/>
    <xf numFmtId="0" fontId="7" fillId="0" borderId="20" xfId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7" fillId="0" borderId="21" xfId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10" fillId="11" borderId="0" xfId="1" applyFont="1" applyFill="1" applyAlignment="1">
      <alignment vertical="center"/>
    </xf>
    <xf numFmtId="0" fontId="7" fillId="11" borderId="0" xfId="1" applyFill="1" applyAlignment="1">
      <alignment vertical="center"/>
    </xf>
    <xf numFmtId="0" fontId="7" fillId="11" borderId="21" xfId="1" applyFill="1" applyBorder="1" applyAlignment="1">
      <alignment vertical="center"/>
    </xf>
    <xf numFmtId="14" fontId="7" fillId="11" borderId="0" xfId="1" applyNumberFormat="1" applyFill="1" applyAlignment="1">
      <alignment horizontal="left" vertical="center"/>
    </xf>
    <xf numFmtId="0" fontId="7" fillId="11" borderId="21" xfId="1" applyFill="1" applyBorder="1" applyAlignment="1">
      <alignment horizontal="left" vertical="center"/>
    </xf>
    <xf numFmtId="0" fontId="10" fillId="11" borderId="7" xfId="1" applyFont="1" applyFill="1" applyBorder="1" applyAlignment="1">
      <alignment vertical="center"/>
    </xf>
    <xf numFmtId="0" fontId="10" fillId="11" borderId="9" xfId="1" applyFont="1" applyFill="1" applyBorder="1" applyAlignment="1">
      <alignment vertical="center"/>
    </xf>
    <xf numFmtId="0" fontId="10" fillId="11" borderId="10" xfId="1" applyFont="1" applyFill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7" fillId="0" borderId="1" xfId="1" applyBorder="1" applyAlignment="1">
      <alignment horizontal="left"/>
    </xf>
    <xf numFmtId="0" fontId="3" fillId="6" borderId="1" xfId="1" applyFont="1" applyFill="1" applyBorder="1" applyAlignment="1">
      <alignment horizontal="left" vertical="center" wrapText="1"/>
    </xf>
    <xf numFmtId="0" fontId="7" fillId="6" borderId="1" xfId="1" applyFill="1" applyBorder="1" applyAlignment="1">
      <alignment horizontal="left"/>
    </xf>
    <xf numFmtId="0" fontId="6" fillId="6" borderId="2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12" xfId="1" applyFont="1" applyFill="1" applyBorder="1" applyAlignment="1">
      <alignment horizontal="center" vertical="center" wrapText="1"/>
    </xf>
    <xf numFmtId="0" fontId="28" fillId="0" borderId="13" xfId="1" applyFont="1" applyBorder="1" applyAlignment="1">
      <alignment horizontal="center"/>
    </xf>
    <xf numFmtId="0" fontId="28" fillId="0" borderId="14" xfId="1" applyFont="1" applyBorder="1" applyAlignment="1">
      <alignment horizontal="center"/>
    </xf>
    <xf numFmtId="0" fontId="28" fillId="0" borderId="15" xfId="1" applyFont="1" applyBorder="1" applyAlignment="1">
      <alignment horizontal="center"/>
    </xf>
    <xf numFmtId="0" fontId="3" fillId="0" borderId="6" xfId="1" applyFont="1" applyBorder="1" applyAlignment="1">
      <alignment horizontal="right" vertical="center" wrapText="1"/>
    </xf>
    <xf numFmtId="0" fontId="7" fillId="0" borderId="6" xfId="1" applyBorder="1" applyAlignment="1">
      <alignment horizontal="center"/>
    </xf>
    <xf numFmtId="0" fontId="7" fillId="0" borderId="26" xfId="1" applyBorder="1" applyAlignment="1">
      <alignment horizontal="right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</cellXfs>
  <cellStyles count="4">
    <cellStyle name="Comma 2" xfId="3" xr:uid="{093CFD04-F261-4CEE-B917-6F9808100335}"/>
    <cellStyle name="Normal" xfId="0" builtinId="0"/>
    <cellStyle name="Normal 2" xfId="1" xr:uid="{392AAA8A-35ED-48B3-A6F5-B67ADA1B3F79}"/>
    <cellStyle name="Normal 3" xfId="2" xr:uid="{6895AAD8-1F12-4F04-AEDD-A607A7C7C61B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8F8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8B3B-88EB-4B22-BB3F-8BB97506432E}">
  <sheetPr>
    <pageSetUpPr fitToPage="1"/>
  </sheetPr>
  <dimension ref="A1:H44"/>
  <sheetViews>
    <sheetView showGridLines="0" zoomScale="143" zoomScaleNormal="100" workbookViewId="0">
      <selection sqref="A1:H1"/>
    </sheetView>
  </sheetViews>
  <sheetFormatPr defaultColWidth="8.6640625" defaultRowHeight="14.4" x14ac:dyDescent="0.3"/>
  <cols>
    <col min="1" max="1" width="4.6640625" customWidth="1"/>
    <col min="2" max="2" width="11.5546875" customWidth="1"/>
    <col min="3" max="3" width="42.5546875" customWidth="1"/>
    <col min="4" max="4" width="10" customWidth="1"/>
    <col min="5" max="5" width="7.88671875" customWidth="1"/>
    <col min="6" max="6" width="11.44140625" customWidth="1"/>
    <col min="7" max="7" width="10.109375" customWidth="1"/>
    <col min="8" max="8" width="17.109375" customWidth="1"/>
  </cols>
  <sheetData>
    <row r="1" spans="1:8" ht="18.75" customHeight="1" x14ac:dyDescent="0.3">
      <c r="A1" s="143" t="s">
        <v>18</v>
      </c>
      <c r="B1" s="144"/>
      <c r="C1" s="144"/>
      <c r="D1" s="144"/>
      <c r="E1" s="144"/>
      <c r="F1" s="144"/>
      <c r="G1" s="144"/>
      <c r="H1" s="145"/>
    </row>
    <row r="2" spans="1:8" ht="28.05" customHeight="1" x14ac:dyDescent="0.3">
      <c r="A2" s="146" t="s">
        <v>1</v>
      </c>
      <c r="B2" s="147"/>
      <c r="C2" s="147"/>
      <c r="D2" s="147"/>
      <c r="E2" s="147"/>
      <c r="F2" s="147"/>
      <c r="G2" s="147"/>
      <c r="H2" s="14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9</v>
      </c>
      <c r="D9" s="11"/>
      <c r="E9" s="127" t="s">
        <v>10</v>
      </c>
      <c r="F9" s="127"/>
      <c r="G9" s="128" t="s">
        <v>213</v>
      </c>
      <c r="H9" s="129"/>
    </row>
    <row r="10" spans="1:8" ht="21.75" customHeight="1" x14ac:dyDescent="0.3">
      <c r="A10" s="10" t="s">
        <v>12</v>
      </c>
      <c r="B10" s="11"/>
      <c r="C10" s="12" t="s">
        <v>13</v>
      </c>
      <c r="D10" s="11"/>
      <c r="E10" s="127" t="s">
        <v>14</v>
      </c>
      <c r="F10" s="127"/>
      <c r="G10" s="138">
        <v>46217</v>
      </c>
      <c r="H10" s="139"/>
    </row>
    <row r="11" spans="1:8" ht="21.75" customHeight="1" x14ac:dyDescent="0.3">
      <c r="A11" s="10" t="s">
        <v>15</v>
      </c>
      <c r="B11" s="11"/>
      <c r="C11" s="12" t="s">
        <v>16</v>
      </c>
      <c r="D11" s="11"/>
      <c r="E11" s="127" t="s">
        <v>17</v>
      </c>
      <c r="F11" s="127"/>
      <c r="G11" s="128" t="s">
        <v>18</v>
      </c>
      <c r="H11" s="129"/>
    </row>
    <row r="12" spans="1:8" ht="21.75" customHeight="1" x14ac:dyDescent="0.3">
      <c r="A12" s="10" t="s">
        <v>19</v>
      </c>
      <c r="B12" s="11"/>
      <c r="C12" s="12" t="s">
        <v>130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46204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20" t="s">
        <v>79</v>
      </c>
      <c r="B16" s="21"/>
      <c r="C16" s="21"/>
      <c r="D16" s="21"/>
      <c r="E16" s="22" t="s">
        <v>76</v>
      </c>
      <c r="F16" s="23"/>
      <c r="G16" s="22" t="s">
        <v>95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9" customHeight="1" x14ac:dyDescent="0.3">
      <c r="A19" s="1">
        <v>1</v>
      </c>
      <c r="B19" s="34" t="str">
        <f>Master_Items!B7</f>
        <v>09113BL</v>
      </c>
      <c r="C19" s="34" t="str">
        <f>Master_Items!C20</f>
        <v>BRIGHT M.S. 1.31/32" (50MM) DIA. TOLERANCE -0.001"/-0.004" (En3B-BS970:1955)</v>
      </c>
      <c r="D19" s="33">
        <v>721550</v>
      </c>
      <c r="E19" s="2"/>
      <c r="F19" s="3">
        <v>560</v>
      </c>
      <c r="G19" s="3">
        <v>70</v>
      </c>
      <c r="H19" s="3">
        <f t="shared" ref="H19:H22" si="0">F19*G19</f>
        <v>39200</v>
      </c>
    </row>
    <row r="20" spans="1:8" ht="39" customHeight="1" x14ac:dyDescent="0.3">
      <c r="A20" s="1">
        <v>2</v>
      </c>
      <c r="B20" s="34" t="str">
        <f>Master_Items!B2</f>
        <v>09112BL</v>
      </c>
      <c r="C20" s="34" t="str">
        <f>Master_Items!C2</f>
        <v>BRIGHT M.S. 1.3/4" DIA. TOLERANCE ON DIA. -0.002"/-0.005". LENGTH: 19-20 FEET (En3B-BS970:1955)</v>
      </c>
      <c r="D20" s="33">
        <v>721550</v>
      </c>
      <c r="E20" s="2"/>
      <c r="F20" s="3">
        <v>1070</v>
      </c>
      <c r="G20" s="3">
        <v>70</v>
      </c>
      <c r="H20" s="3">
        <f t="shared" si="0"/>
        <v>74900</v>
      </c>
    </row>
    <row r="21" spans="1:8" ht="39" customHeight="1" x14ac:dyDescent="0.3">
      <c r="A21" s="1">
        <v>3</v>
      </c>
      <c r="B21" s="34" t="str">
        <f>Master_Items!B7</f>
        <v>09113BL</v>
      </c>
      <c r="C21" s="34" t="str">
        <f>Master_Items!C7</f>
        <v>BRIGHT M.S. 2" DIA. TOLERANCE ON DIA. +0.005"/+0.008". LENGTH: 18.5 FEET (En3B-BS970:1955)</v>
      </c>
      <c r="D21" s="33">
        <v>721550</v>
      </c>
      <c r="E21" s="2"/>
      <c r="F21" s="3">
        <v>540</v>
      </c>
      <c r="G21" s="3">
        <v>70</v>
      </c>
      <c r="H21" s="3">
        <f t="shared" si="0"/>
        <v>37800</v>
      </c>
    </row>
    <row r="22" spans="1:8" ht="39" customHeight="1" x14ac:dyDescent="0.3">
      <c r="A22" s="1">
        <v>4</v>
      </c>
      <c r="B22" s="34" t="str">
        <f>Master_Items!B13</f>
        <v>09158BL</v>
      </c>
      <c r="C22" s="34" t="str">
        <f>Master_Items!C13</f>
        <v>BRIGHT M.S. GB 45MM DIA. TOLERANCE ON DIA.</v>
      </c>
      <c r="D22" s="33">
        <v>721550</v>
      </c>
      <c r="E22" s="2"/>
      <c r="F22" s="3">
        <v>1020</v>
      </c>
      <c r="G22" s="3">
        <v>70</v>
      </c>
      <c r="H22" s="3">
        <f t="shared" si="0"/>
        <v>71400</v>
      </c>
    </row>
    <row r="23" spans="1:8" ht="39" customHeight="1" x14ac:dyDescent="0.3">
      <c r="A23" s="1">
        <v>5</v>
      </c>
      <c r="B23" s="34" t="str">
        <f>Master_Items!B7</f>
        <v>09113BL</v>
      </c>
      <c r="C23" s="34" t="str">
        <f>Master_Items!C7</f>
        <v>BRIGHT M.S. 2" DIA. TOLERANCE ON DIA. +0.005"/+0.008". LENGTH: 18.5 FEET (En3B-BS970:1955)</v>
      </c>
      <c r="D23" s="33">
        <v>721550</v>
      </c>
      <c r="E23" s="2"/>
      <c r="F23" s="3">
        <v>2100</v>
      </c>
      <c r="G23" s="3">
        <v>70</v>
      </c>
      <c r="H23" s="3">
        <f t="shared" ref="H23:H24" si="1">F23*G23</f>
        <v>147000</v>
      </c>
    </row>
    <row r="24" spans="1:8" ht="39" customHeight="1" x14ac:dyDescent="0.3">
      <c r="A24" s="1">
        <v>6</v>
      </c>
      <c r="B24" s="34" t="str">
        <f>Master_Items!B23</f>
        <v>09332BL</v>
      </c>
      <c r="C24" s="34" t="str">
        <f>Master_Items!C23</f>
        <v>BRIGHT M.S. GB 5/8" DIA. TOLERANCE +0.008"/+0.012"</v>
      </c>
      <c r="D24" s="33">
        <v>721550</v>
      </c>
      <c r="E24" s="2"/>
      <c r="F24" s="3">
        <v>530</v>
      </c>
      <c r="G24" s="3">
        <v>71</v>
      </c>
      <c r="H24" s="3">
        <f t="shared" si="1"/>
        <v>37630</v>
      </c>
    </row>
    <row r="25" spans="1:8" ht="39" customHeight="1" x14ac:dyDescent="0.3">
      <c r="A25" s="1">
        <v>7</v>
      </c>
      <c r="B25" s="34" t="str">
        <f>Master_Items!B21</f>
        <v>09816BL</v>
      </c>
      <c r="C25" s="34" t="str">
        <f>Master_Items!C21</f>
        <v>1.3/8" DIA BRIGHT CLASS IV STEEL (G.B) TOL ON DIA +0.008"/+0.012"</v>
      </c>
      <c r="D25" s="33">
        <v>721550</v>
      </c>
      <c r="E25" s="2"/>
      <c r="F25" s="3">
        <v>1995</v>
      </c>
      <c r="G25" s="3">
        <v>85</v>
      </c>
      <c r="H25" s="3">
        <f>F25*G25</f>
        <v>169575</v>
      </c>
    </row>
    <row r="26" spans="1:8" ht="39" customHeight="1" x14ac:dyDescent="0.3">
      <c r="A26" s="1">
        <v>8</v>
      </c>
      <c r="B26" s="34" t="str">
        <f>Master_Items!B27</f>
        <v>09246BL</v>
      </c>
      <c r="C26" s="34" t="str">
        <f>Master_Items!C27</f>
        <v>M.S. CHANNEL 3" X 1.1/2" (75X40MM), LENGTH: 20-22 FT</v>
      </c>
      <c r="D26" s="33"/>
      <c r="E26" s="2"/>
      <c r="F26" s="3">
        <v>1550</v>
      </c>
      <c r="G26" s="3">
        <v>60</v>
      </c>
      <c r="H26" s="3">
        <f>F26*G26</f>
        <v>93000</v>
      </c>
    </row>
    <row r="28" spans="1:8" ht="22.5" customHeight="1" x14ac:dyDescent="0.3">
      <c r="E28" s="132" t="s">
        <v>41</v>
      </c>
      <c r="F28" s="132"/>
      <c r="G28" s="132"/>
      <c r="H28" s="5">
        <f>SUM(H19:H26)</f>
        <v>670505</v>
      </c>
    </row>
    <row r="29" spans="1:8" ht="22.5" customHeight="1" x14ac:dyDescent="0.3">
      <c r="E29" s="132" t="s">
        <v>42</v>
      </c>
      <c r="F29" s="132"/>
      <c r="G29" s="132"/>
      <c r="H29" s="5">
        <v>16500</v>
      </c>
    </row>
    <row r="30" spans="1:8" ht="22.5" customHeight="1" x14ac:dyDescent="0.3">
      <c r="E30" s="133" t="s">
        <v>43</v>
      </c>
      <c r="F30" s="133"/>
      <c r="G30" s="133"/>
      <c r="H30" s="6">
        <f>SUM(H28:H29)</f>
        <v>687005</v>
      </c>
    </row>
    <row r="31" spans="1:8" ht="22.5" customHeight="1" x14ac:dyDescent="0.3">
      <c r="E31" s="132" t="s">
        <v>44</v>
      </c>
      <c r="F31" s="132"/>
      <c r="G31" s="132"/>
      <c r="H31" s="5">
        <f>$H$30*9%</f>
        <v>61830.45</v>
      </c>
    </row>
    <row r="32" spans="1:8" ht="22.5" customHeight="1" x14ac:dyDescent="0.3">
      <c r="E32" s="132" t="s">
        <v>45</v>
      </c>
      <c r="F32" s="132"/>
      <c r="G32" s="132"/>
      <c r="H32" s="5">
        <f>$H$30*9%</f>
        <v>61830.45</v>
      </c>
    </row>
    <row r="33" spans="1:8" ht="22.5" customHeight="1" x14ac:dyDescent="0.35">
      <c r="E33" s="134" t="s">
        <v>46</v>
      </c>
      <c r="F33" s="134"/>
      <c r="G33" s="134"/>
      <c r="H33" s="7">
        <f>SUM(H30:H32)</f>
        <v>810665.89999999991</v>
      </c>
    </row>
    <row r="35" spans="1:8" ht="18.75" customHeight="1" x14ac:dyDescent="0.3">
      <c r="A35" s="135" t="s">
        <v>216</v>
      </c>
      <c r="B35" s="136"/>
      <c r="C35" s="136"/>
      <c r="D35" s="136"/>
      <c r="E35" s="136"/>
      <c r="F35" s="136"/>
      <c r="G35" s="136"/>
      <c r="H35" s="137"/>
    </row>
    <row r="36" spans="1:8" x14ac:dyDescent="0.3">
      <c r="A36" s="26"/>
      <c r="B36" s="26"/>
      <c r="C36" s="26"/>
      <c r="D36" s="26"/>
      <c r="E36" s="26"/>
      <c r="F36" s="26"/>
      <c r="G36" s="26"/>
      <c r="H36" s="26"/>
    </row>
    <row r="37" spans="1:8" ht="17.399999999999999" x14ac:dyDescent="0.35">
      <c r="A37" s="124" t="s">
        <v>83</v>
      </c>
      <c r="B37" s="125"/>
      <c r="C37" s="126"/>
      <c r="D37" s="36"/>
      <c r="E37" s="28"/>
      <c r="F37" s="28"/>
      <c r="G37" s="28"/>
      <c r="H37" s="29" t="s">
        <v>47</v>
      </c>
    </row>
    <row r="38" spans="1:8" ht="15" customHeight="1" x14ac:dyDescent="0.3">
      <c r="A38" s="114" t="s">
        <v>48</v>
      </c>
      <c r="B38" s="115"/>
      <c r="C38" s="25" t="s">
        <v>49</v>
      </c>
      <c r="D38" s="37"/>
      <c r="E38" s="116" t="s">
        <v>50</v>
      </c>
      <c r="F38" s="116"/>
      <c r="G38" s="116"/>
      <c r="H38" s="117"/>
    </row>
    <row r="39" spans="1:8" x14ac:dyDescent="0.3">
      <c r="A39" s="114" t="s">
        <v>51</v>
      </c>
      <c r="B39" s="115"/>
      <c r="C39" s="72" t="s">
        <v>111</v>
      </c>
      <c r="D39" s="37"/>
      <c r="E39" s="118"/>
      <c r="F39" s="118"/>
      <c r="G39" s="118"/>
      <c r="H39" s="119"/>
    </row>
    <row r="40" spans="1:8" x14ac:dyDescent="0.3">
      <c r="A40" s="114" t="s">
        <v>52</v>
      </c>
      <c r="B40" s="115"/>
      <c r="C40" s="25" t="s">
        <v>53</v>
      </c>
      <c r="D40" s="37"/>
      <c r="E40" s="26"/>
      <c r="F40" s="26"/>
      <c r="G40" s="26"/>
      <c r="H40" s="30"/>
    </row>
    <row r="41" spans="1:8" x14ac:dyDescent="0.3">
      <c r="A41" s="120" t="s">
        <v>54</v>
      </c>
      <c r="B41" s="121"/>
      <c r="C41" s="31" t="s">
        <v>55</v>
      </c>
      <c r="D41" s="38"/>
      <c r="E41" s="122" t="s">
        <v>56</v>
      </c>
      <c r="F41" s="122"/>
      <c r="G41" s="122"/>
      <c r="H41" s="123"/>
    </row>
    <row r="42" spans="1:8" x14ac:dyDescent="0.3">
      <c r="A42" s="26"/>
      <c r="B42" s="26"/>
      <c r="C42" s="26"/>
      <c r="D42" s="26"/>
      <c r="E42" s="112"/>
      <c r="F42" s="112"/>
      <c r="G42" s="112"/>
      <c r="H42" s="112"/>
    </row>
    <row r="43" spans="1:8" x14ac:dyDescent="0.3">
      <c r="A43" s="113" t="s">
        <v>57</v>
      </c>
      <c r="B43" s="113"/>
      <c r="C43" s="113"/>
      <c r="D43" s="113"/>
      <c r="E43" s="113"/>
      <c r="F43" s="113"/>
      <c r="G43" s="113"/>
      <c r="H43" s="113"/>
    </row>
    <row r="44" spans="1:8" x14ac:dyDescent="0.3">
      <c r="A44" s="113" t="s">
        <v>58</v>
      </c>
      <c r="B44" s="113"/>
      <c r="C44" s="113"/>
      <c r="D44" s="113"/>
      <c r="E44" s="113"/>
      <c r="F44" s="113"/>
      <c r="G44" s="113"/>
      <c r="H44" s="113"/>
    </row>
  </sheetData>
  <mergeCells count="35">
    <mergeCell ref="A8:D8"/>
    <mergeCell ref="E8:H8"/>
    <mergeCell ref="A1:H1"/>
    <mergeCell ref="A2:H2"/>
    <mergeCell ref="A4:H4"/>
    <mergeCell ref="A5:H5"/>
    <mergeCell ref="A6:H6"/>
    <mergeCell ref="E9:F9"/>
    <mergeCell ref="G9:H9"/>
    <mergeCell ref="E10:F10"/>
    <mergeCell ref="G10:H10"/>
    <mergeCell ref="E11:F11"/>
    <mergeCell ref="G11:H11"/>
    <mergeCell ref="A37:C37"/>
    <mergeCell ref="E12:F12"/>
    <mergeCell ref="G12:H12"/>
    <mergeCell ref="E14:F14"/>
    <mergeCell ref="G14:H14"/>
    <mergeCell ref="E28:G28"/>
    <mergeCell ref="E29:G29"/>
    <mergeCell ref="E30:G30"/>
    <mergeCell ref="E31:G31"/>
    <mergeCell ref="E32:G32"/>
    <mergeCell ref="E33:G33"/>
    <mergeCell ref="A35:H35"/>
    <mergeCell ref="E42:H42"/>
    <mergeCell ref="A43:H43"/>
    <mergeCell ref="A44:H44"/>
    <mergeCell ref="A38:B38"/>
    <mergeCell ref="E38:H38"/>
    <mergeCell ref="A39:B39"/>
    <mergeCell ref="E39:H39"/>
    <mergeCell ref="A40:B40"/>
    <mergeCell ref="A41:B41"/>
    <mergeCell ref="E41:H41"/>
  </mergeCells>
  <pageMargins left="0.7" right="0.7" top="0.75" bottom="0.75" header="0.3" footer="0.3"/>
  <pageSetup scale="66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9F7F-8B44-4326-8EB1-259839F69FBD}">
  <sheetPr>
    <outlinePr summaryBelow="0" summaryRight="0"/>
  </sheetPr>
  <dimension ref="A1:G46"/>
  <sheetViews>
    <sheetView showGridLines="0" tabSelected="1" zoomScale="112" zoomScaleNormal="184" workbookViewId="0">
      <pane ySplit="1" topLeftCell="A27" activePane="bottomLeft" state="frozen"/>
      <selection activeCell="B1" sqref="B1"/>
      <selection pane="bottomLeft" activeCell="A43" sqref="A43:D46"/>
    </sheetView>
  </sheetViews>
  <sheetFormatPr defaultColWidth="12.6640625" defaultRowHeight="15.75" customHeight="1" x14ac:dyDescent="0.3"/>
  <cols>
    <col min="1" max="1" width="5.6640625" style="106" customWidth="1"/>
    <col min="2" max="2" width="12.6640625" style="85"/>
    <col min="3" max="3" width="91.21875" style="85" bestFit="1" customWidth="1"/>
    <col min="4" max="16384" width="12.6640625" style="85"/>
  </cols>
  <sheetData>
    <row r="1" spans="1:7" ht="15.75" customHeight="1" thickTop="1" thickBot="1" x14ac:dyDescent="0.35">
      <c r="A1" s="81" t="s">
        <v>132</v>
      </c>
      <c r="B1" s="82" t="s">
        <v>133</v>
      </c>
      <c r="C1" s="83" t="s">
        <v>134</v>
      </c>
      <c r="D1" s="84" t="s">
        <v>30</v>
      </c>
      <c r="F1" s="86"/>
      <c r="G1" s="87"/>
    </row>
    <row r="2" spans="1:7" ht="15.75" customHeight="1" thickTop="1" x14ac:dyDescent="0.3">
      <c r="A2" s="88">
        <f>IF(B2&lt;&gt;"", 1, "")</f>
        <v>1</v>
      </c>
      <c r="B2" s="89" t="s">
        <v>35</v>
      </c>
      <c r="C2" s="90" t="s">
        <v>135</v>
      </c>
      <c r="D2" s="91">
        <v>721550</v>
      </c>
    </row>
    <row r="3" spans="1:7" ht="15.75" customHeight="1" x14ac:dyDescent="0.3">
      <c r="A3" s="88">
        <f>IF(B2&lt;&gt;"", COUNTA(B$2:$B3), "")</f>
        <v>2</v>
      </c>
      <c r="B3" s="89" t="s">
        <v>136</v>
      </c>
      <c r="C3" s="90" t="s">
        <v>137</v>
      </c>
      <c r="D3" s="91">
        <v>721550</v>
      </c>
    </row>
    <row r="4" spans="1:7" ht="15.75" customHeight="1" x14ac:dyDescent="0.3">
      <c r="A4" s="88">
        <f>IF(B3&lt;&gt;"", COUNTA(B$2:$B4), "")</f>
        <v>3</v>
      </c>
      <c r="B4" s="89" t="s">
        <v>138</v>
      </c>
      <c r="C4" s="90" t="s">
        <v>139</v>
      </c>
      <c r="D4" s="91">
        <v>721550</v>
      </c>
    </row>
    <row r="5" spans="1:7" ht="15.75" customHeight="1" x14ac:dyDescent="0.3">
      <c r="A5" s="88">
        <f>IF(B4&lt;&gt;"", COUNTA(B$2:$B5), "")</f>
        <v>4</v>
      </c>
      <c r="B5" s="89" t="s">
        <v>140</v>
      </c>
      <c r="C5" s="90" t="s">
        <v>141</v>
      </c>
      <c r="D5" s="91">
        <v>721550</v>
      </c>
    </row>
    <row r="6" spans="1:7" ht="15.75" customHeight="1" x14ac:dyDescent="0.3">
      <c r="A6" s="88">
        <f>IF(B5&lt;&gt;"", COUNTA(B$2:$B6), "")</f>
        <v>5</v>
      </c>
      <c r="B6" s="89" t="s">
        <v>142</v>
      </c>
      <c r="C6" s="90" t="s">
        <v>143</v>
      </c>
      <c r="D6" s="91">
        <v>721550</v>
      </c>
    </row>
    <row r="7" spans="1:7" ht="15.75" customHeight="1" x14ac:dyDescent="0.3">
      <c r="A7" s="88">
        <f>IF(B6&lt;&gt;"", COUNTA(B$2:$B7), "")</f>
        <v>6</v>
      </c>
      <c r="B7" s="89" t="s">
        <v>36</v>
      </c>
      <c r="C7" s="90" t="s">
        <v>144</v>
      </c>
      <c r="D7" s="91">
        <v>721550</v>
      </c>
    </row>
    <row r="8" spans="1:7" ht="15.75" customHeight="1" x14ac:dyDescent="0.3">
      <c r="A8" s="88">
        <f>IF(B7&lt;&gt;"", COUNTA(B$2:$B8), "")</f>
        <v>7</v>
      </c>
      <c r="B8" s="89" t="s">
        <v>145</v>
      </c>
      <c r="C8" s="90" t="s">
        <v>146</v>
      </c>
      <c r="D8" s="91">
        <v>721550</v>
      </c>
    </row>
    <row r="9" spans="1:7" ht="15.75" customHeight="1" x14ac:dyDescent="0.3">
      <c r="A9" s="88">
        <f>IF(B8&lt;&gt;"", COUNTA(B$2:$B9), "")</f>
        <v>8</v>
      </c>
      <c r="B9" s="89" t="s">
        <v>40</v>
      </c>
      <c r="C9" s="90" t="s">
        <v>147</v>
      </c>
      <c r="D9" s="91">
        <v>721550</v>
      </c>
    </row>
    <row r="10" spans="1:7" ht="15.75" customHeight="1" x14ac:dyDescent="0.3">
      <c r="A10" s="88">
        <f>IF(B9&lt;&gt;"", COUNTA(B$2:$B10), "")</f>
        <v>9</v>
      </c>
      <c r="B10" s="89" t="s">
        <v>60</v>
      </c>
      <c r="C10" s="90" t="s">
        <v>61</v>
      </c>
      <c r="D10" s="91">
        <v>721550</v>
      </c>
    </row>
    <row r="11" spans="1:7" ht="15.75" customHeight="1" x14ac:dyDescent="0.3">
      <c r="A11" s="88">
        <f>IF(B10&lt;&gt;"", COUNTA(B$2:$B11), "")</f>
        <v>10</v>
      </c>
      <c r="B11" s="89" t="s">
        <v>148</v>
      </c>
      <c r="C11" s="90" t="s">
        <v>149</v>
      </c>
      <c r="D11" s="91">
        <v>721550</v>
      </c>
    </row>
    <row r="12" spans="1:7" ht="15.75" customHeight="1" x14ac:dyDescent="0.3">
      <c r="A12" s="88">
        <f>IF(B11&lt;&gt;"", COUNTA(B$2:$B12), "")</f>
        <v>11</v>
      </c>
      <c r="B12" s="89" t="s">
        <v>150</v>
      </c>
      <c r="C12" s="90" t="s">
        <v>151</v>
      </c>
      <c r="D12" s="91">
        <v>721550</v>
      </c>
    </row>
    <row r="13" spans="1:7" ht="15.75" customHeight="1" x14ac:dyDescent="0.3">
      <c r="A13" s="88">
        <f>IF(B12&lt;&gt;"", COUNTA(B$2:$B13), "")</f>
        <v>12</v>
      </c>
      <c r="B13" s="89" t="s">
        <v>38</v>
      </c>
      <c r="C13" s="90" t="s">
        <v>39</v>
      </c>
      <c r="D13" s="91">
        <v>721550</v>
      </c>
    </row>
    <row r="14" spans="1:7" ht="15.75" customHeight="1" x14ac:dyDescent="0.3">
      <c r="A14" s="88">
        <f>IF(B13&lt;&gt;"", COUNTA(B$2:$B14), "")</f>
        <v>13</v>
      </c>
      <c r="B14" s="89" t="s">
        <v>152</v>
      </c>
      <c r="C14" s="90" t="s">
        <v>153</v>
      </c>
      <c r="D14" s="91">
        <v>721550</v>
      </c>
    </row>
    <row r="15" spans="1:7" ht="15.75" customHeight="1" x14ac:dyDescent="0.3">
      <c r="A15" s="88">
        <f>IF(B14&lt;&gt;"", COUNTA(B$2:$B15), "")</f>
        <v>14</v>
      </c>
      <c r="B15" s="89" t="s">
        <v>154</v>
      </c>
      <c r="C15" s="90" t="s">
        <v>155</v>
      </c>
      <c r="D15" s="91">
        <v>721550</v>
      </c>
    </row>
    <row r="16" spans="1:7" ht="15.75" customHeight="1" x14ac:dyDescent="0.3">
      <c r="A16" s="88">
        <f>IF(B15&lt;&gt;"", COUNTA(B$2:$B16), "")</f>
        <v>15</v>
      </c>
      <c r="B16" s="89" t="s">
        <v>156</v>
      </c>
      <c r="C16" s="90" t="s">
        <v>157</v>
      </c>
      <c r="D16" s="91">
        <v>721550</v>
      </c>
    </row>
    <row r="17" spans="1:4" ht="15.75" customHeight="1" x14ac:dyDescent="0.3">
      <c r="A17" s="88">
        <f>IF(B16&lt;&gt;"", COUNTA(B$2:$B17), "")</f>
        <v>16</v>
      </c>
      <c r="B17" s="89" t="s">
        <v>158</v>
      </c>
      <c r="C17" s="90" t="s">
        <v>159</v>
      </c>
      <c r="D17" s="91">
        <v>721550</v>
      </c>
    </row>
    <row r="18" spans="1:4" ht="15.75" customHeight="1" x14ac:dyDescent="0.3">
      <c r="A18" s="88">
        <f>IF(B17&lt;&gt;"", COUNTA(B$2:$B18), "")</f>
        <v>17</v>
      </c>
      <c r="B18" s="89" t="s">
        <v>160</v>
      </c>
      <c r="C18" s="90" t="s">
        <v>161</v>
      </c>
      <c r="D18" s="91">
        <v>721550</v>
      </c>
    </row>
    <row r="19" spans="1:4" ht="15.75" customHeight="1" x14ac:dyDescent="0.3">
      <c r="A19" s="88">
        <f>IF(B18&lt;&gt;"", COUNTA(B$2:$B19), "")</f>
        <v>18</v>
      </c>
      <c r="B19" s="89" t="s">
        <v>162</v>
      </c>
      <c r="C19" s="90" t="s">
        <v>163</v>
      </c>
      <c r="D19" s="91">
        <v>721550</v>
      </c>
    </row>
    <row r="20" spans="1:4" ht="13.2" customHeight="1" x14ac:dyDescent="0.3">
      <c r="A20" s="88">
        <f>IF(B19&lt;&gt;"", COUNTA(B$2:$B20), "")</f>
        <v>19</v>
      </c>
      <c r="B20" s="89" t="s">
        <v>164</v>
      </c>
      <c r="C20" s="90" t="s">
        <v>165</v>
      </c>
      <c r="D20" s="91">
        <v>721550</v>
      </c>
    </row>
    <row r="21" spans="1:4" ht="13.2" customHeight="1" x14ac:dyDescent="0.3">
      <c r="A21" s="88">
        <f>IF(B20&lt;&gt;"", COUNTA(B$2:$B21), "")</f>
        <v>20</v>
      </c>
      <c r="B21" s="89" t="s">
        <v>64</v>
      </c>
      <c r="C21" s="90" t="s">
        <v>65</v>
      </c>
      <c r="D21" s="91">
        <v>721550</v>
      </c>
    </row>
    <row r="22" spans="1:4" ht="15.75" customHeight="1" x14ac:dyDescent="0.3">
      <c r="A22" s="88">
        <f>IF(B21&lt;&gt;"", COUNTA(B$2:$B22), "")</f>
        <v>21</v>
      </c>
      <c r="B22" s="89" t="s">
        <v>166</v>
      </c>
      <c r="C22" s="90" t="s">
        <v>167</v>
      </c>
      <c r="D22" s="91">
        <v>721550</v>
      </c>
    </row>
    <row r="23" spans="1:4" ht="15.75" customHeight="1" x14ac:dyDescent="0.3">
      <c r="A23" s="88">
        <f>IF(B22&lt;&gt;"", COUNTA(B$2:$B23), "")</f>
        <v>22</v>
      </c>
      <c r="B23" s="109" t="s">
        <v>214</v>
      </c>
      <c r="C23" s="90" t="s">
        <v>215</v>
      </c>
      <c r="D23" s="91">
        <v>721550</v>
      </c>
    </row>
    <row r="24" spans="1:4" ht="13.2" customHeight="1" x14ac:dyDescent="0.3">
      <c r="A24" s="88">
        <f>IF(B23&lt;&gt;"", COUNTA(B$2:$B24), "")</f>
        <v>23</v>
      </c>
      <c r="B24" s="92" t="s">
        <v>168</v>
      </c>
      <c r="C24" s="93" t="s">
        <v>169</v>
      </c>
      <c r="D24" s="94">
        <v>721550</v>
      </c>
    </row>
    <row r="25" spans="1:4" ht="15.75" customHeight="1" x14ac:dyDescent="0.3">
      <c r="A25" s="88">
        <f>IF(B24&lt;&gt;"", COUNTA(B$2:$B25), "")</f>
        <v>24</v>
      </c>
      <c r="B25" s="95" t="s">
        <v>170</v>
      </c>
      <c r="C25" s="96" t="s">
        <v>171</v>
      </c>
      <c r="D25" s="97"/>
    </row>
    <row r="26" spans="1:4" ht="15.75" customHeight="1" x14ac:dyDescent="0.3">
      <c r="A26" s="88">
        <f>IF(B25&lt;&gt;"", COUNTA(B$2:$B26), "")</f>
        <v>25</v>
      </c>
      <c r="B26" s="92" t="s">
        <v>172</v>
      </c>
      <c r="C26" s="93" t="s">
        <v>173</v>
      </c>
      <c r="D26" s="98"/>
    </row>
    <row r="27" spans="1:4" ht="15.75" customHeight="1" x14ac:dyDescent="0.3">
      <c r="A27" s="88">
        <f>IF(B26&lt;&gt;"", COUNTA(B$2:$B27), "")</f>
        <v>26</v>
      </c>
      <c r="B27" s="89" t="s">
        <v>174</v>
      </c>
      <c r="C27" s="90" t="s">
        <v>175</v>
      </c>
      <c r="D27" s="99"/>
    </row>
    <row r="28" spans="1:4" ht="15.75" customHeight="1" x14ac:dyDescent="0.3">
      <c r="A28" s="88">
        <f>IF(B27&lt;&gt;"", COUNTA(B$2:$B28), "")</f>
        <v>27</v>
      </c>
      <c r="B28" s="89" t="s">
        <v>176</v>
      </c>
      <c r="C28" s="90" t="s">
        <v>177</v>
      </c>
      <c r="D28" s="99"/>
    </row>
    <row r="29" spans="1:4" ht="15.75" customHeight="1" x14ac:dyDescent="0.3">
      <c r="A29" s="88">
        <f>IF(B28&lt;&gt;"", COUNTA(B$2:$B29), "")</f>
        <v>28</v>
      </c>
      <c r="B29" s="89" t="s">
        <v>178</v>
      </c>
      <c r="C29" s="90" t="s">
        <v>179</v>
      </c>
      <c r="D29" s="99"/>
    </row>
    <row r="30" spans="1:4" ht="15.75" customHeight="1" x14ac:dyDescent="0.3">
      <c r="A30" s="88">
        <f>IF(B29&lt;&gt;"", COUNTA(B$2:$B30), "")</f>
        <v>29</v>
      </c>
      <c r="B30" s="89" t="s">
        <v>180</v>
      </c>
      <c r="C30" s="90" t="s">
        <v>181</v>
      </c>
      <c r="D30" s="99"/>
    </row>
    <row r="31" spans="1:4" ht="15.75" customHeight="1" x14ac:dyDescent="0.3">
      <c r="A31" s="88">
        <f>IF(B30&lt;&gt;"", COUNTA(B$2:$B31), "")</f>
        <v>30</v>
      </c>
      <c r="B31" s="89" t="s">
        <v>182</v>
      </c>
      <c r="C31" s="90" t="s">
        <v>183</v>
      </c>
      <c r="D31" s="99"/>
    </row>
    <row r="32" spans="1:4" ht="15.75" customHeight="1" x14ac:dyDescent="0.3">
      <c r="A32" s="88">
        <f>IF(B31&lt;&gt;"", COUNTA(B$2:$B32), "")</f>
        <v>31</v>
      </c>
      <c r="B32" s="95" t="s">
        <v>184</v>
      </c>
      <c r="C32" s="96" t="s">
        <v>185</v>
      </c>
      <c r="D32" s="97">
        <v>722860</v>
      </c>
    </row>
    <row r="33" spans="1:4" ht="13.2" customHeight="1" x14ac:dyDescent="0.3">
      <c r="A33" s="88">
        <f>IF(B32&lt;&gt;"", COUNTA(B$2:$B33), "")</f>
        <v>32</v>
      </c>
      <c r="B33" s="92" t="s">
        <v>186</v>
      </c>
      <c r="C33" s="93" t="s">
        <v>187</v>
      </c>
      <c r="D33" s="98">
        <v>722860</v>
      </c>
    </row>
    <row r="34" spans="1:4" ht="13.2" customHeight="1" thickBot="1" x14ac:dyDescent="0.35">
      <c r="A34" s="88">
        <f>IF(B33&lt;&gt;"", COUNTA(B$2:$B34), "")</f>
        <v>33</v>
      </c>
      <c r="B34" s="89" t="s">
        <v>188</v>
      </c>
      <c r="C34" s="90" t="s">
        <v>189</v>
      </c>
      <c r="D34" s="99"/>
    </row>
    <row r="35" spans="1:4" ht="13.2" customHeight="1" x14ac:dyDescent="0.3">
      <c r="A35" s="88">
        <f>IF(B34&lt;&gt;"", COUNTA(B$2:$B35), "")</f>
        <v>33</v>
      </c>
      <c r="B35" s="100"/>
      <c r="C35" s="101" t="s">
        <v>190</v>
      </c>
      <c r="D35" s="99">
        <v>721410</v>
      </c>
    </row>
    <row r="36" spans="1:4" ht="13.2" customHeight="1" x14ac:dyDescent="0.3">
      <c r="A36" s="88">
        <v>34</v>
      </c>
      <c r="B36" s="102" t="s">
        <v>191</v>
      </c>
      <c r="C36" s="90" t="s">
        <v>192</v>
      </c>
      <c r="D36" s="99">
        <v>721410</v>
      </c>
    </row>
    <row r="37" spans="1:4" ht="13.2" customHeight="1" x14ac:dyDescent="0.3">
      <c r="A37" s="88">
        <f>IF(B36&lt;&gt;"", COUNTA(B$2:$B37), "")</f>
        <v>35</v>
      </c>
      <c r="B37" s="89" t="s">
        <v>193</v>
      </c>
      <c r="C37" s="90" t="s">
        <v>194</v>
      </c>
      <c r="D37" s="99">
        <v>721410</v>
      </c>
    </row>
    <row r="38" spans="1:4" ht="13.2" customHeight="1" x14ac:dyDescent="0.3">
      <c r="A38" s="88">
        <f>IF(B37&lt;&gt;"", COUNTA(B$2:$B38), "")</f>
        <v>36</v>
      </c>
      <c r="B38" s="89" t="s">
        <v>195</v>
      </c>
      <c r="C38" s="90" t="s">
        <v>196</v>
      </c>
      <c r="D38" s="99">
        <v>721410</v>
      </c>
    </row>
    <row r="39" spans="1:4" ht="13.2" customHeight="1" x14ac:dyDescent="0.3">
      <c r="A39" s="88">
        <f>IF(B38&lt;&gt;"", COUNTA(B$2:$B39), "")</f>
        <v>37</v>
      </c>
      <c r="B39" s="92" t="s">
        <v>197</v>
      </c>
      <c r="C39" s="93" t="s">
        <v>198</v>
      </c>
      <c r="D39" s="99">
        <v>721410</v>
      </c>
    </row>
    <row r="40" spans="1:4" ht="13.2" customHeight="1" x14ac:dyDescent="0.3">
      <c r="A40" s="88">
        <f>IF(B39&lt;&gt;"", COUNTA(B$2:$B40), "")</f>
        <v>38</v>
      </c>
      <c r="B40" s="89" t="s">
        <v>199</v>
      </c>
      <c r="C40" s="90" t="s">
        <v>200</v>
      </c>
      <c r="D40" s="99">
        <v>722830</v>
      </c>
    </row>
    <row r="41" spans="1:4" ht="13.2" customHeight="1" x14ac:dyDescent="0.3">
      <c r="A41" s="88">
        <f>IF(B40&lt;&gt;"", COUNTA(B$2:$B41), "")</f>
        <v>39</v>
      </c>
      <c r="B41" s="89" t="s">
        <v>201</v>
      </c>
      <c r="C41" s="90" t="s">
        <v>202</v>
      </c>
      <c r="D41" s="99">
        <v>722830</v>
      </c>
    </row>
    <row r="42" spans="1:4" ht="13.8" customHeight="1" thickBot="1" x14ac:dyDescent="0.35">
      <c r="A42" s="88">
        <f>IF(B41&lt;&gt;"", COUNTA(B$2:$B42), "")</f>
        <v>40</v>
      </c>
      <c r="B42" s="103" t="s">
        <v>203</v>
      </c>
      <c r="C42" s="104" t="s">
        <v>204</v>
      </c>
      <c r="D42" s="105">
        <v>722830</v>
      </c>
    </row>
    <row r="43" spans="1:4" ht="15.75" customHeight="1" x14ac:dyDescent="0.3">
      <c r="A43" s="88">
        <f>IF(B42&lt;&gt;"", COUNTA(B$2:$B43), "")</f>
        <v>41</v>
      </c>
      <c r="B43" s="85">
        <v>12050038</v>
      </c>
      <c r="C43" s="85" t="s">
        <v>229</v>
      </c>
      <c r="D43" s="85">
        <v>72123010</v>
      </c>
    </row>
    <row r="44" spans="1:4" ht="15.75" customHeight="1" x14ac:dyDescent="0.3">
      <c r="A44" s="88">
        <f>IF(B43&lt;&gt;"", COUNTA(B$2:$B44), "")</f>
        <v>42</v>
      </c>
      <c r="B44" s="85">
        <v>12050041</v>
      </c>
      <c r="C44" s="85" t="s">
        <v>230</v>
      </c>
      <c r="D44" s="85">
        <v>72123010</v>
      </c>
    </row>
    <row r="45" spans="1:4" ht="15.75" customHeight="1" x14ac:dyDescent="0.3">
      <c r="A45" s="88">
        <f>IF(B44&lt;&gt;"", COUNTA(B$2:$B45), "")</f>
        <v>43</v>
      </c>
      <c r="B45" s="85">
        <v>12050059</v>
      </c>
      <c r="C45" s="85" t="s">
        <v>231</v>
      </c>
      <c r="D45" s="85">
        <v>72123010</v>
      </c>
    </row>
    <row r="46" spans="1:4" ht="15.75" customHeight="1" thickBot="1" x14ac:dyDescent="0.35">
      <c r="A46" s="103">
        <f>IF(B45&lt;&gt;"", COUNTA(B$2:$B46), "")</f>
        <v>44</v>
      </c>
      <c r="B46" s="104">
        <v>12050040</v>
      </c>
      <c r="C46" s="105" t="s">
        <v>232</v>
      </c>
      <c r="D46" s="103">
        <v>72123010</v>
      </c>
    </row>
  </sheetData>
  <dataValidations count="2">
    <dataValidation type="list" allowBlank="1" showInputMessage="1" showErrorMessage="1" sqref="C1:C42" xr:uid="{85A1BF17-7ACD-42FE-A7CB-9A7713A2FF2B}">
      <formula1>$C$2:$C$42</formula1>
    </dataValidation>
    <dataValidation type="list" allowBlank="1" showInputMessage="1" showErrorMessage="1" sqref="B1:B42" xr:uid="{8DF311A1-2E11-44AF-A5C7-5FA56D88AE5A}">
      <formula1>$B$1:$B$42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038B-494B-4CF4-AB1A-CBC9B67A8145}">
  <sheetPr>
    <pageSetUpPr fitToPage="1"/>
  </sheetPr>
  <dimension ref="A1:H45"/>
  <sheetViews>
    <sheetView showGridLines="0" topLeftCell="A7" zoomScale="136" zoomScaleNormal="100" workbookViewId="0">
      <selection activeCell="C13" sqref="C13"/>
    </sheetView>
  </sheetViews>
  <sheetFormatPr defaultColWidth="8.6640625" defaultRowHeight="14.4" x14ac:dyDescent="0.3"/>
  <cols>
    <col min="1" max="1" width="6.21875" customWidth="1"/>
    <col min="2" max="2" width="11.5546875" customWidth="1"/>
    <col min="3" max="3" width="42.5546875" customWidth="1"/>
    <col min="4" max="4" width="10" customWidth="1"/>
    <col min="5" max="5" width="8.33203125" bestFit="1" customWidth="1"/>
    <col min="6" max="6" width="11.44140625" customWidth="1"/>
    <col min="7" max="7" width="10.109375" customWidth="1"/>
    <col min="8" max="8" width="17.109375" customWidth="1"/>
  </cols>
  <sheetData>
    <row r="1" spans="1:8" ht="18.75" customHeight="1" x14ac:dyDescent="0.3">
      <c r="A1" s="143" t="s">
        <v>0</v>
      </c>
      <c r="B1" s="144"/>
      <c r="C1" s="144"/>
      <c r="D1" s="144"/>
      <c r="E1" s="144"/>
      <c r="F1" s="144"/>
      <c r="G1" s="144"/>
      <c r="H1" s="145"/>
    </row>
    <row r="2" spans="1:8" ht="28.05" customHeight="1" x14ac:dyDescent="0.3">
      <c r="A2" s="146" t="s">
        <v>1</v>
      </c>
      <c r="B2" s="147"/>
      <c r="C2" s="147"/>
      <c r="D2" s="147"/>
      <c r="E2" s="147"/>
      <c r="F2" s="147"/>
      <c r="G2" s="147"/>
      <c r="H2" s="14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9</v>
      </c>
      <c r="D9" s="11"/>
      <c r="E9" s="127" t="s">
        <v>10</v>
      </c>
      <c r="F9" s="127"/>
      <c r="G9" s="128" t="s">
        <v>224</v>
      </c>
      <c r="H9" s="129"/>
    </row>
    <row r="10" spans="1:8" ht="21.75" customHeight="1" x14ac:dyDescent="0.3">
      <c r="A10" s="10" t="s">
        <v>12</v>
      </c>
      <c r="B10" s="11"/>
      <c r="C10" s="12" t="s">
        <v>13</v>
      </c>
      <c r="D10" s="11"/>
      <c r="E10" s="127" t="s">
        <v>14</v>
      </c>
      <c r="F10" s="127"/>
      <c r="G10" s="138">
        <v>46239</v>
      </c>
      <c r="H10" s="139"/>
    </row>
    <row r="11" spans="1:8" ht="21.75" customHeight="1" x14ac:dyDescent="0.3">
      <c r="A11" s="10" t="s">
        <v>15</v>
      </c>
      <c r="B11" s="11"/>
      <c r="C11" s="12" t="s">
        <v>16</v>
      </c>
      <c r="D11" s="11"/>
      <c r="E11" s="127" t="s">
        <v>17</v>
      </c>
      <c r="F11" s="127"/>
      <c r="G11" s="128" t="s">
        <v>225</v>
      </c>
      <c r="H11" s="129"/>
    </row>
    <row r="12" spans="1:8" ht="21.75" customHeight="1" x14ac:dyDescent="0.3">
      <c r="A12" s="10" t="s">
        <v>19</v>
      </c>
      <c r="B12" s="11"/>
      <c r="C12" s="12" t="s">
        <v>130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46204</v>
      </c>
      <c r="D13" s="11"/>
      <c r="E13" s="14"/>
      <c r="F13" s="14"/>
      <c r="G13" s="14"/>
      <c r="H13" s="15"/>
    </row>
    <row r="14" spans="1:8" ht="21.75" customHeight="1" x14ac:dyDescent="0.3">
      <c r="A14" s="10" t="s">
        <v>24</v>
      </c>
      <c r="B14" s="110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20" t="s">
        <v>79</v>
      </c>
      <c r="B16" s="21"/>
      <c r="C16" s="21"/>
      <c r="D16" s="21"/>
      <c r="E16" s="22" t="s">
        <v>76</v>
      </c>
      <c r="F16" s="23"/>
      <c r="G16" s="22" t="s">
        <v>226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9" customHeight="1" x14ac:dyDescent="0.3">
      <c r="A19" s="1">
        <v>1</v>
      </c>
      <c r="B19" s="34" t="str">
        <f>Master_Items!B20</f>
        <v>09083BL</v>
      </c>
      <c r="C19" s="34" t="str">
        <f>Master_Items!C20</f>
        <v>BRIGHT M.S. 1.31/32" (50MM) DIA. TOLERANCE -0.001"/-0.004" (En3B-BS970:1955)</v>
      </c>
      <c r="D19" s="33">
        <v>721550</v>
      </c>
      <c r="E19" s="2">
        <v>6</v>
      </c>
      <c r="F19" s="3">
        <v>575</v>
      </c>
      <c r="G19" s="3">
        <v>70</v>
      </c>
      <c r="H19" s="3">
        <f t="shared" ref="H19:H24" si="0">F19*G19</f>
        <v>40250</v>
      </c>
    </row>
    <row r="20" spans="1:8" ht="39" customHeight="1" x14ac:dyDescent="0.3">
      <c r="A20" s="1">
        <v>2</v>
      </c>
      <c r="B20" s="34" t="str">
        <f>Master_Items!B2</f>
        <v>09112BL</v>
      </c>
      <c r="C20" s="34" t="str">
        <f>Master_Items!C2</f>
        <v>BRIGHT M.S. 1.3/4" DIA. TOLERANCE ON DIA. -0.002"/-0.005". LENGTH: 19-20 FEET (En3B-BS970:1955)</v>
      </c>
      <c r="D20" s="33">
        <v>721550</v>
      </c>
      <c r="E20" s="2">
        <v>14</v>
      </c>
      <c r="F20" s="3">
        <v>1029</v>
      </c>
      <c r="G20" s="3">
        <v>70</v>
      </c>
      <c r="H20" s="3">
        <f t="shared" si="0"/>
        <v>72030</v>
      </c>
    </row>
    <row r="21" spans="1:8" ht="39" customHeight="1" x14ac:dyDescent="0.3">
      <c r="A21" s="1">
        <v>3</v>
      </c>
      <c r="B21" s="34" t="str">
        <f>Master_Items!B7</f>
        <v>09113BL</v>
      </c>
      <c r="C21" s="34" t="str">
        <f>Master_Items!C7</f>
        <v>BRIGHT M.S. 2" DIA. TOLERANCE ON DIA. +0.005"/+0.008". LENGTH: 18.5 FEET (En3B-BS970:1955)</v>
      </c>
      <c r="D21" s="33">
        <v>721550</v>
      </c>
      <c r="E21" s="2">
        <v>6</v>
      </c>
      <c r="F21" s="3">
        <v>582</v>
      </c>
      <c r="G21" s="3">
        <v>70</v>
      </c>
      <c r="H21" s="3">
        <f t="shared" si="0"/>
        <v>40740</v>
      </c>
    </row>
    <row r="22" spans="1:8" ht="39" customHeight="1" x14ac:dyDescent="0.3">
      <c r="A22" s="1">
        <v>4</v>
      </c>
      <c r="B22" s="34" t="str">
        <f>Master_Items!B13</f>
        <v>09158BL</v>
      </c>
      <c r="C22" s="34" t="str">
        <f>Master_Items!C13</f>
        <v>BRIGHT M.S. GB 45MM DIA. TOLERANCE ON DIA.</v>
      </c>
      <c r="D22" s="33">
        <v>721550</v>
      </c>
      <c r="E22" s="2">
        <v>15</v>
      </c>
      <c r="F22" s="3">
        <v>1107</v>
      </c>
      <c r="G22" s="3">
        <v>70</v>
      </c>
      <c r="H22" s="3">
        <f t="shared" si="0"/>
        <v>77490</v>
      </c>
    </row>
    <row r="23" spans="1:8" ht="39" customHeight="1" x14ac:dyDescent="0.3">
      <c r="A23" s="1">
        <v>5</v>
      </c>
      <c r="B23" s="34" t="str">
        <f>Master_Items!B9</f>
        <v>09283BL</v>
      </c>
      <c r="C23" s="34" t="str">
        <f>Master_Items!C9</f>
        <v>BRIGHT M.S. 1.1/2" DIA. TOLERANCE ON DIA. -0.002"/-0.005". LENGTH: 18-20 FEET (En3B-BS970:1955)</v>
      </c>
      <c r="D23" s="33">
        <v>721550</v>
      </c>
      <c r="E23" s="2">
        <v>36</v>
      </c>
      <c r="F23" s="3">
        <v>2032</v>
      </c>
      <c r="G23" s="3">
        <v>70</v>
      </c>
      <c r="H23" s="3">
        <f t="shared" si="0"/>
        <v>142240</v>
      </c>
    </row>
    <row r="24" spans="1:8" ht="39" customHeight="1" x14ac:dyDescent="0.3">
      <c r="A24" s="1">
        <v>6</v>
      </c>
      <c r="B24" s="34" t="str">
        <f>Master_Items!B23</f>
        <v>09332BL</v>
      </c>
      <c r="C24" s="34" t="str">
        <f>Master_Items!C23</f>
        <v>BRIGHT M.S. GB 5/8" DIA. TOLERANCE +0.008"/+0.012"</v>
      </c>
      <c r="D24" s="33">
        <v>721550</v>
      </c>
      <c r="E24" s="2">
        <v>50</v>
      </c>
      <c r="F24" s="3">
        <v>506</v>
      </c>
      <c r="G24" s="3">
        <v>71</v>
      </c>
      <c r="H24" s="3">
        <f t="shared" si="0"/>
        <v>35926</v>
      </c>
    </row>
    <row r="25" spans="1:8" ht="39" customHeight="1" x14ac:dyDescent="0.3">
      <c r="A25" s="1">
        <v>7</v>
      </c>
      <c r="B25" s="34" t="str">
        <f>Master_Items!B21</f>
        <v>09816BL</v>
      </c>
      <c r="C25" s="34" t="str">
        <f>Master_Items!C21</f>
        <v>1.3/8" DIA BRIGHT CLASS IV STEEL (G.B) TOL ON DIA +0.008"/+0.012"</v>
      </c>
      <c r="D25" s="33">
        <v>721550</v>
      </c>
      <c r="E25" s="2">
        <v>36</v>
      </c>
      <c r="F25" s="3">
        <v>1974</v>
      </c>
      <c r="G25" s="3">
        <v>85</v>
      </c>
      <c r="H25" s="3">
        <f>F25*G25</f>
        <v>167790</v>
      </c>
    </row>
    <row r="26" spans="1:8" ht="39" customHeight="1" x14ac:dyDescent="0.3">
      <c r="A26" s="1">
        <v>8</v>
      </c>
      <c r="B26" s="34" t="str">
        <f>Master_Items!B27</f>
        <v>09246BL</v>
      </c>
      <c r="C26" s="34" t="str">
        <f>Master_Items!C27</f>
        <v>M.S. CHANNEL 3" X 1.1/2" (75X40MM), LENGTH: 20-22 FT</v>
      </c>
      <c r="D26" s="33">
        <v>721610</v>
      </c>
      <c r="E26" s="2">
        <v>39</v>
      </c>
      <c r="F26" s="3">
        <v>1480</v>
      </c>
      <c r="G26" s="3">
        <v>60</v>
      </c>
      <c r="H26" s="3">
        <f>F26*G26</f>
        <v>88800</v>
      </c>
    </row>
    <row r="27" spans="1:8" ht="39" customHeight="1" x14ac:dyDescent="0.3">
      <c r="A27" s="1"/>
      <c r="B27" s="32"/>
      <c r="C27" s="80" t="s">
        <v>228</v>
      </c>
      <c r="D27" s="33"/>
      <c r="E27" s="107">
        <f>SUM(E19:E26)</f>
        <v>202</v>
      </c>
      <c r="F27" s="107">
        <f>SUM(F19:F26)</f>
        <v>9285</v>
      </c>
      <c r="G27" s="111"/>
      <c r="H27" s="111"/>
    </row>
    <row r="29" spans="1:8" ht="22.5" customHeight="1" x14ac:dyDescent="0.3">
      <c r="E29" s="132" t="s">
        <v>41</v>
      </c>
      <c r="F29" s="132"/>
      <c r="G29" s="132"/>
      <c r="H29" s="5">
        <f>SUM(H19:H26)</f>
        <v>665266</v>
      </c>
    </row>
    <row r="30" spans="1:8" ht="22.5" customHeight="1" x14ac:dyDescent="0.3">
      <c r="E30" s="132" t="s">
        <v>42</v>
      </c>
      <c r="F30" s="132"/>
      <c r="G30" s="132"/>
      <c r="H30" s="5">
        <v>16500</v>
      </c>
    </row>
    <row r="31" spans="1:8" ht="22.5" customHeight="1" x14ac:dyDescent="0.3">
      <c r="E31" s="133" t="s">
        <v>43</v>
      </c>
      <c r="F31" s="133"/>
      <c r="G31" s="133"/>
      <c r="H31" s="6">
        <f>SUM(H29:H30)</f>
        <v>681766</v>
      </c>
    </row>
    <row r="32" spans="1:8" ht="22.5" customHeight="1" x14ac:dyDescent="0.3">
      <c r="E32" s="132" t="s">
        <v>44</v>
      </c>
      <c r="F32" s="132"/>
      <c r="G32" s="132"/>
      <c r="H32" s="5">
        <f>$H$31*9%</f>
        <v>61358.939999999995</v>
      </c>
    </row>
    <row r="33" spans="1:8" ht="22.5" customHeight="1" x14ac:dyDescent="0.3">
      <c r="E33" s="132" t="s">
        <v>45</v>
      </c>
      <c r="F33" s="132"/>
      <c r="G33" s="132"/>
      <c r="H33" s="5">
        <f>$H$31*9%</f>
        <v>61358.939999999995</v>
      </c>
    </row>
    <row r="34" spans="1:8" ht="22.5" customHeight="1" x14ac:dyDescent="0.35">
      <c r="E34" s="134" t="s">
        <v>46</v>
      </c>
      <c r="F34" s="134"/>
      <c r="G34" s="134"/>
      <c r="H34" s="7">
        <f>SUM(H31:H33)</f>
        <v>804483.87999999989</v>
      </c>
    </row>
    <row r="36" spans="1:8" ht="18.75" customHeight="1" x14ac:dyDescent="0.3">
      <c r="A36" s="135" t="s">
        <v>227</v>
      </c>
      <c r="B36" s="136"/>
      <c r="C36" s="136"/>
      <c r="D36" s="136"/>
      <c r="E36" s="136"/>
      <c r="F36" s="136"/>
      <c r="G36" s="136"/>
      <c r="H36" s="137"/>
    </row>
    <row r="37" spans="1:8" x14ac:dyDescent="0.3">
      <c r="A37" s="26"/>
      <c r="B37" s="26"/>
      <c r="C37" s="26"/>
      <c r="D37" s="26"/>
      <c r="E37" s="26"/>
      <c r="F37" s="26"/>
      <c r="G37" s="26"/>
      <c r="H37" s="26"/>
    </row>
    <row r="38" spans="1:8" ht="17.399999999999999" x14ac:dyDescent="0.35">
      <c r="A38" s="124" t="s">
        <v>83</v>
      </c>
      <c r="B38" s="125"/>
      <c r="C38" s="126"/>
      <c r="D38" s="36"/>
      <c r="E38" s="28"/>
      <c r="F38" s="28"/>
      <c r="G38" s="28"/>
      <c r="H38" s="29" t="s">
        <v>47</v>
      </c>
    </row>
    <row r="39" spans="1:8" ht="15" customHeight="1" x14ac:dyDescent="0.3">
      <c r="A39" s="114" t="s">
        <v>48</v>
      </c>
      <c r="B39" s="115"/>
      <c r="C39" s="25" t="s">
        <v>49</v>
      </c>
      <c r="D39" s="37"/>
      <c r="E39" s="116" t="s">
        <v>50</v>
      </c>
      <c r="F39" s="116"/>
      <c r="G39" s="116"/>
      <c r="H39" s="117"/>
    </row>
    <row r="40" spans="1:8" x14ac:dyDescent="0.3">
      <c r="A40" s="114" t="s">
        <v>51</v>
      </c>
      <c r="B40" s="115"/>
      <c r="C40" s="72" t="s">
        <v>111</v>
      </c>
      <c r="D40" s="37"/>
      <c r="E40" s="118"/>
      <c r="F40" s="118"/>
      <c r="G40" s="118"/>
      <c r="H40" s="119"/>
    </row>
    <row r="41" spans="1:8" x14ac:dyDescent="0.3">
      <c r="A41" s="114" t="s">
        <v>52</v>
      </c>
      <c r="B41" s="115"/>
      <c r="C41" s="25" t="s">
        <v>53</v>
      </c>
      <c r="D41" s="37"/>
      <c r="E41" s="26"/>
      <c r="F41" s="26"/>
      <c r="G41" s="26"/>
      <c r="H41" s="30"/>
    </row>
    <row r="42" spans="1:8" x14ac:dyDescent="0.3">
      <c r="A42" s="120" t="s">
        <v>54</v>
      </c>
      <c r="B42" s="121"/>
      <c r="C42" s="31" t="s">
        <v>55</v>
      </c>
      <c r="D42" s="38"/>
      <c r="E42" s="122" t="s">
        <v>56</v>
      </c>
      <c r="F42" s="122"/>
      <c r="G42" s="122"/>
      <c r="H42" s="123"/>
    </row>
    <row r="43" spans="1:8" x14ac:dyDescent="0.3">
      <c r="A43" s="26"/>
      <c r="B43" s="26"/>
      <c r="C43" s="26"/>
      <c r="D43" s="26"/>
      <c r="E43" s="112"/>
      <c r="F43" s="112"/>
      <c r="G43" s="112"/>
      <c r="H43" s="112"/>
    </row>
    <row r="44" spans="1:8" x14ac:dyDescent="0.3">
      <c r="A44" s="113" t="s">
        <v>57</v>
      </c>
      <c r="B44" s="113"/>
      <c r="C44" s="113"/>
      <c r="D44" s="113"/>
      <c r="E44" s="113"/>
      <c r="F44" s="113"/>
      <c r="G44" s="113"/>
      <c r="H44" s="113"/>
    </row>
    <row r="45" spans="1:8" x14ac:dyDescent="0.3">
      <c r="A45" s="113" t="s">
        <v>58</v>
      </c>
      <c r="B45" s="113"/>
      <c r="C45" s="113"/>
      <c r="D45" s="113"/>
      <c r="E45" s="113"/>
      <c r="F45" s="113"/>
      <c r="G45" s="113"/>
      <c r="H45" s="113"/>
    </row>
  </sheetData>
  <mergeCells count="35">
    <mergeCell ref="A8:D8"/>
    <mergeCell ref="E8:H8"/>
    <mergeCell ref="A1:H1"/>
    <mergeCell ref="A2:H2"/>
    <mergeCell ref="A4:H4"/>
    <mergeCell ref="A5:H5"/>
    <mergeCell ref="A6:H6"/>
    <mergeCell ref="E9:F9"/>
    <mergeCell ref="G9:H9"/>
    <mergeCell ref="E10:F10"/>
    <mergeCell ref="G10:H10"/>
    <mergeCell ref="E11:F11"/>
    <mergeCell ref="G11:H11"/>
    <mergeCell ref="A38:C38"/>
    <mergeCell ref="E12:F12"/>
    <mergeCell ref="G12:H12"/>
    <mergeCell ref="E14:F14"/>
    <mergeCell ref="G14:H14"/>
    <mergeCell ref="E29:G29"/>
    <mergeCell ref="E30:G30"/>
    <mergeCell ref="E31:G31"/>
    <mergeCell ref="E32:G32"/>
    <mergeCell ref="E33:G33"/>
    <mergeCell ref="E34:G34"/>
    <mergeCell ref="A36:H36"/>
    <mergeCell ref="E43:H43"/>
    <mergeCell ref="A44:H44"/>
    <mergeCell ref="A45:H45"/>
    <mergeCell ref="A39:B39"/>
    <mergeCell ref="E39:H39"/>
    <mergeCell ref="A40:B40"/>
    <mergeCell ref="E40:H40"/>
    <mergeCell ref="A41:B41"/>
    <mergeCell ref="A42:B42"/>
    <mergeCell ref="E42:H42"/>
  </mergeCells>
  <pageMargins left="0.7" right="0.7" top="0.75" bottom="0.75" header="0.3" footer="0.3"/>
  <pageSetup scale="64" fitToWidth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D953-7A7D-49EA-ACD0-43436CF0C88E}">
  <sheetPr>
    <pageSetUpPr fitToPage="1"/>
  </sheetPr>
  <dimension ref="A1:H41"/>
  <sheetViews>
    <sheetView showGridLines="0" zoomScale="143" zoomScaleNormal="100" workbookViewId="0">
      <selection activeCell="C22" sqref="C22"/>
    </sheetView>
  </sheetViews>
  <sheetFormatPr defaultColWidth="8.6640625" defaultRowHeight="14.4" x14ac:dyDescent="0.3"/>
  <cols>
    <col min="1" max="1" width="4.6640625" customWidth="1"/>
    <col min="2" max="2" width="11.5546875" customWidth="1"/>
    <col min="3" max="3" width="42.5546875" customWidth="1"/>
    <col min="4" max="4" width="10" customWidth="1"/>
    <col min="5" max="5" width="7.88671875" customWidth="1"/>
    <col min="6" max="6" width="11.44140625" customWidth="1"/>
    <col min="7" max="7" width="10.109375" customWidth="1"/>
    <col min="8" max="8" width="17.109375" customWidth="1"/>
  </cols>
  <sheetData>
    <row r="1" spans="1:8" ht="18.75" customHeight="1" x14ac:dyDescent="0.3">
      <c r="A1" s="143" t="s">
        <v>0</v>
      </c>
      <c r="B1" s="144"/>
      <c r="C1" s="144"/>
      <c r="D1" s="144"/>
      <c r="E1" s="144"/>
      <c r="F1" s="144"/>
      <c r="G1" s="144"/>
      <c r="H1" s="145"/>
    </row>
    <row r="2" spans="1:8" ht="28.05" customHeight="1" x14ac:dyDescent="0.3">
      <c r="A2" s="146" t="s">
        <v>1</v>
      </c>
      <c r="B2" s="147"/>
      <c r="C2" s="147"/>
      <c r="D2" s="147"/>
      <c r="E2" s="147"/>
      <c r="F2" s="147"/>
      <c r="G2" s="147"/>
      <c r="H2" s="14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9</v>
      </c>
      <c r="D9" s="11"/>
      <c r="E9" s="127" t="s">
        <v>10</v>
      </c>
      <c r="F9" s="127"/>
      <c r="G9" s="128" t="s">
        <v>217</v>
      </c>
      <c r="H9" s="129"/>
    </row>
    <row r="10" spans="1:8" ht="21.75" customHeight="1" x14ac:dyDescent="0.3">
      <c r="A10" s="10" t="s">
        <v>12</v>
      </c>
      <c r="B10" s="11"/>
      <c r="C10" s="12" t="s">
        <v>13</v>
      </c>
      <c r="D10" s="11"/>
      <c r="E10" s="127" t="s">
        <v>14</v>
      </c>
      <c r="F10" s="127"/>
      <c r="G10" s="138">
        <v>46225</v>
      </c>
      <c r="H10" s="139"/>
    </row>
    <row r="11" spans="1:8" ht="21.75" customHeight="1" x14ac:dyDescent="0.3">
      <c r="A11" s="10" t="s">
        <v>15</v>
      </c>
      <c r="B11" s="11"/>
      <c r="C11" s="12" t="s">
        <v>16</v>
      </c>
      <c r="D11" s="11"/>
      <c r="E11" s="127" t="s">
        <v>17</v>
      </c>
      <c r="F11" s="127"/>
      <c r="G11" s="128" t="s">
        <v>219</v>
      </c>
      <c r="H11" s="129"/>
    </row>
    <row r="12" spans="1:8" ht="21.75" customHeight="1" x14ac:dyDescent="0.3">
      <c r="A12" s="10" t="s">
        <v>19</v>
      </c>
      <c r="B12" s="11"/>
      <c r="C12" s="12" t="s">
        <v>218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46224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20" t="s">
        <v>79</v>
      </c>
      <c r="B16" s="21"/>
      <c r="C16" s="21"/>
      <c r="D16" s="21"/>
      <c r="E16" s="22" t="s">
        <v>76</v>
      </c>
      <c r="F16" s="23"/>
      <c r="G16" s="22" t="s">
        <v>220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9" customHeight="1" x14ac:dyDescent="0.3">
      <c r="A19" s="1">
        <v>1</v>
      </c>
      <c r="B19" s="34" t="str">
        <f>Master_Items!B29</f>
        <v>09427BL</v>
      </c>
      <c r="C19" s="34" t="s">
        <v>221</v>
      </c>
      <c r="D19" s="33">
        <v>72162100</v>
      </c>
      <c r="E19" s="2"/>
      <c r="F19" s="3">
        <v>1025</v>
      </c>
      <c r="G19" s="3">
        <v>70</v>
      </c>
      <c r="H19" s="3">
        <f t="shared" ref="H19:H22" si="0">F19*G19</f>
        <v>71750</v>
      </c>
    </row>
    <row r="20" spans="1:8" ht="39" customHeight="1" x14ac:dyDescent="0.3">
      <c r="A20" s="1">
        <v>2</v>
      </c>
      <c r="B20" s="1"/>
      <c r="C20" s="34" t="s">
        <v>221</v>
      </c>
      <c r="D20" s="33">
        <v>72165000</v>
      </c>
      <c r="E20" s="2"/>
      <c r="F20" s="3">
        <v>1299</v>
      </c>
      <c r="G20" s="3">
        <v>70</v>
      </c>
      <c r="H20" s="3">
        <f t="shared" si="0"/>
        <v>90930</v>
      </c>
    </row>
    <row r="21" spans="1:8" ht="39" customHeight="1" x14ac:dyDescent="0.3">
      <c r="A21" s="1">
        <v>3</v>
      </c>
      <c r="B21" s="89" t="s">
        <v>174</v>
      </c>
      <c r="C21" s="34" t="s">
        <v>222</v>
      </c>
      <c r="D21" s="33">
        <v>72165000</v>
      </c>
      <c r="E21" s="2"/>
      <c r="F21" s="3">
        <v>1033</v>
      </c>
      <c r="G21" s="3">
        <v>70</v>
      </c>
      <c r="H21" s="3">
        <f t="shared" si="0"/>
        <v>72310</v>
      </c>
    </row>
    <row r="22" spans="1:8" ht="39" customHeight="1" x14ac:dyDescent="0.3">
      <c r="A22" s="1">
        <v>4</v>
      </c>
      <c r="B22" s="1"/>
      <c r="C22" s="34" t="s">
        <v>223</v>
      </c>
      <c r="D22" s="33">
        <v>72142090</v>
      </c>
      <c r="E22" s="2"/>
      <c r="F22" s="3">
        <v>1100</v>
      </c>
      <c r="G22" s="3">
        <v>60</v>
      </c>
      <c r="H22" s="3">
        <f t="shared" si="0"/>
        <v>66000</v>
      </c>
    </row>
    <row r="23" spans="1:8" ht="39" customHeight="1" x14ac:dyDescent="0.3">
      <c r="A23" s="1"/>
      <c r="B23" s="32"/>
      <c r="C23" s="80" t="s">
        <v>209</v>
      </c>
      <c r="D23" s="33"/>
      <c r="E23" s="2"/>
      <c r="F23" s="107">
        <f>SUM(F19:F22)</f>
        <v>4457</v>
      </c>
      <c r="G23" s="3"/>
      <c r="H23" s="3"/>
    </row>
    <row r="25" spans="1:8" ht="22.5" customHeight="1" x14ac:dyDescent="0.3">
      <c r="E25" s="132" t="s">
        <v>41</v>
      </c>
      <c r="F25" s="132"/>
      <c r="G25" s="132"/>
      <c r="H25" s="5">
        <f>SUM(H19:H23)</f>
        <v>300990</v>
      </c>
    </row>
    <row r="26" spans="1:8" ht="22.5" customHeight="1" x14ac:dyDescent="0.3">
      <c r="E26" s="132" t="s">
        <v>42</v>
      </c>
      <c r="F26" s="132"/>
      <c r="G26" s="132"/>
      <c r="H26" s="5"/>
    </row>
    <row r="27" spans="1:8" ht="22.5" customHeight="1" x14ac:dyDescent="0.3">
      <c r="E27" s="133" t="s">
        <v>43</v>
      </c>
      <c r="F27" s="133"/>
      <c r="G27" s="133"/>
      <c r="H27" s="6">
        <f>SUM(H25:H26)</f>
        <v>300990</v>
      </c>
    </row>
    <row r="28" spans="1:8" ht="22.5" customHeight="1" x14ac:dyDescent="0.3">
      <c r="E28" s="132" t="s">
        <v>44</v>
      </c>
      <c r="F28" s="132"/>
      <c r="G28" s="132"/>
      <c r="H28" s="5">
        <f>$H$27*9%</f>
        <v>27089.1</v>
      </c>
    </row>
    <row r="29" spans="1:8" ht="22.5" customHeight="1" x14ac:dyDescent="0.3">
      <c r="E29" s="132" t="s">
        <v>45</v>
      </c>
      <c r="F29" s="132"/>
      <c r="G29" s="132"/>
      <c r="H29" s="5">
        <f>$H$27*9%</f>
        <v>27089.1</v>
      </c>
    </row>
    <row r="30" spans="1:8" ht="22.5" customHeight="1" x14ac:dyDescent="0.35">
      <c r="E30" s="134" t="s">
        <v>46</v>
      </c>
      <c r="F30" s="134"/>
      <c r="G30" s="134"/>
      <c r="H30" s="7">
        <f>SUM(H27:H29)</f>
        <v>355168.19999999995</v>
      </c>
    </row>
    <row r="32" spans="1:8" ht="18.75" customHeight="1" x14ac:dyDescent="0.3">
      <c r="A32" s="135" t="s">
        <v>208</v>
      </c>
      <c r="B32" s="136"/>
      <c r="C32" s="136"/>
      <c r="D32" s="136"/>
      <c r="E32" s="136"/>
      <c r="F32" s="136"/>
      <c r="G32" s="136"/>
      <c r="H32" s="137"/>
    </row>
    <row r="33" spans="1:8" x14ac:dyDescent="0.3">
      <c r="A33" s="26"/>
      <c r="B33" s="26"/>
      <c r="C33" s="26"/>
      <c r="D33" s="26"/>
      <c r="E33" s="26"/>
      <c r="F33" s="26"/>
      <c r="G33" s="26"/>
      <c r="H33" s="26"/>
    </row>
    <row r="34" spans="1:8" ht="17.399999999999999" x14ac:dyDescent="0.35">
      <c r="A34" s="124" t="s">
        <v>83</v>
      </c>
      <c r="B34" s="125"/>
      <c r="C34" s="126"/>
      <c r="D34" s="36"/>
      <c r="E34" s="28"/>
      <c r="F34" s="28"/>
      <c r="G34" s="28"/>
      <c r="H34" s="29" t="s">
        <v>47</v>
      </c>
    </row>
    <row r="35" spans="1:8" ht="15" customHeight="1" x14ac:dyDescent="0.3">
      <c r="A35" s="114" t="s">
        <v>48</v>
      </c>
      <c r="B35" s="115"/>
      <c r="C35" s="25" t="s">
        <v>49</v>
      </c>
      <c r="D35" s="37"/>
      <c r="E35" s="116" t="s">
        <v>50</v>
      </c>
      <c r="F35" s="116"/>
      <c r="G35" s="116"/>
      <c r="H35" s="117"/>
    </row>
    <row r="36" spans="1:8" x14ac:dyDescent="0.3">
      <c r="A36" s="114" t="s">
        <v>51</v>
      </c>
      <c r="B36" s="115"/>
      <c r="C36" s="72" t="s">
        <v>111</v>
      </c>
      <c r="D36" s="37"/>
      <c r="E36" s="118"/>
      <c r="F36" s="118"/>
      <c r="G36" s="118"/>
      <c r="H36" s="119"/>
    </row>
    <row r="37" spans="1:8" x14ac:dyDescent="0.3">
      <c r="A37" s="114" t="s">
        <v>52</v>
      </c>
      <c r="B37" s="115"/>
      <c r="C37" s="25" t="s">
        <v>53</v>
      </c>
      <c r="D37" s="37"/>
      <c r="E37" s="26"/>
      <c r="F37" s="26"/>
      <c r="G37" s="26"/>
      <c r="H37" s="30"/>
    </row>
    <row r="38" spans="1:8" x14ac:dyDescent="0.3">
      <c r="A38" s="120" t="s">
        <v>54</v>
      </c>
      <c r="B38" s="121"/>
      <c r="C38" s="31" t="s">
        <v>55</v>
      </c>
      <c r="D38" s="38"/>
      <c r="E38" s="122" t="s">
        <v>56</v>
      </c>
      <c r="F38" s="122"/>
      <c r="G38" s="122"/>
      <c r="H38" s="123"/>
    </row>
    <row r="39" spans="1:8" x14ac:dyDescent="0.3">
      <c r="A39" s="26"/>
      <c r="B39" s="26"/>
      <c r="C39" s="26"/>
      <c r="D39" s="26"/>
      <c r="E39" s="112"/>
      <c r="F39" s="112"/>
      <c r="G39" s="112"/>
      <c r="H39" s="112"/>
    </row>
    <row r="40" spans="1:8" x14ac:dyDescent="0.3">
      <c r="A40" s="113" t="s">
        <v>57</v>
      </c>
      <c r="B40" s="113"/>
      <c r="C40" s="113"/>
      <c r="D40" s="113"/>
      <c r="E40" s="113"/>
      <c r="F40" s="113"/>
      <c r="G40" s="113"/>
      <c r="H40" s="113"/>
    </row>
    <row r="41" spans="1:8" x14ac:dyDescent="0.3">
      <c r="A41" s="113" t="s">
        <v>58</v>
      </c>
      <c r="B41" s="113"/>
      <c r="C41" s="113"/>
      <c r="D41" s="113"/>
      <c r="E41" s="113"/>
      <c r="F41" s="113"/>
      <c r="G41" s="113"/>
      <c r="H41" s="113"/>
    </row>
  </sheetData>
  <mergeCells count="35">
    <mergeCell ref="E39:H39"/>
    <mergeCell ref="A40:H40"/>
    <mergeCell ref="A41:H41"/>
    <mergeCell ref="A35:B35"/>
    <mergeCell ref="E35:H35"/>
    <mergeCell ref="A36:B36"/>
    <mergeCell ref="E36:H36"/>
    <mergeCell ref="A37:B37"/>
    <mergeCell ref="A38:B38"/>
    <mergeCell ref="E38:H38"/>
    <mergeCell ref="A34:C34"/>
    <mergeCell ref="E12:F12"/>
    <mergeCell ref="G12:H12"/>
    <mergeCell ref="E14:F14"/>
    <mergeCell ref="G14:H14"/>
    <mergeCell ref="E25:G25"/>
    <mergeCell ref="E26:G26"/>
    <mergeCell ref="E27:G27"/>
    <mergeCell ref="E28:G28"/>
    <mergeCell ref="E29:G29"/>
    <mergeCell ref="E30:G30"/>
    <mergeCell ref="A32:H32"/>
    <mergeCell ref="E9:F9"/>
    <mergeCell ref="G9:H9"/>
    <mergeCell ref="E10:F10"/>
    <mergeCell ref="G10:H10"/>
    <mergeCell ref="E11:F11"/>
    <mergeCell ref="G11:H11"/>
    <mergeCell ref="A8:D8"/>
    <mergeCell ref="E8:H8"/>
    <mergeCell ref="A1:H1"/>
    <mergeCell ref="A2:H2"/>
    <mergeCell ref="A4:H4"/>
    <mergeCell ref="A5:H5"/>
    <mergeCell ref="A6:H6"/>
  </mergeCells>
  <dataValidations count="1">
    <dataValidation type="list" allowBlank="1" showInputMessage="1" showErrorMessage="1" sqref="B21" xr:uid="{50044B4A-A8DA-4DDA-AE2A-6441456C08ED}">
      <formula1>$B$1:$B$42</formula1>
    </dataValidation>
  </dataValidations>
  <pageMargins left="0.7" right="0.7" top="0.75" bottom="0.75" header="0.3" footer="0.3"/>
  <pageSetup scale="75" fitToWidth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F4A9-34BF-4CD2-A352-5C9BFFF01685}">
  <sheetPr>
    <pageSetUpPr fitToPage="1"/>
  </sheetPr>
  <dimension ref="A1:H41"/>
  <sheetViews>
    <sheetView showGridLines="0" topLeftCell="A8" zoomScale="143" zoomScaleNormal="100" workbookViewId="0">
      <selection activeCell="H19" sqref="A19:H19"/>
    </sheetView>
  </sheetViews>
  <sheetFormatPr defaultColWidth="8.6640625" defaultRowHeight="14.4" x14ac:dyDescent="0.3"/>
  <cols>
    <col min="1" max="1" width="4.6640625" customWidth="1"/>
    <col min="2" max="2" width="11.5546875" customWidth="1"/>
    <col min="3" max="3" width="42.5546875" customWidth="1"/>
    <col min="4" max="4" width="10" customWidth="1"/>
    <col min="5" max="5" width="7.88671875" customWidth="1"/>
    <col min="6" max="6" width="11.44140625" customWidth="1"/>
    <col min="7" max="7" width="10.109375" customWidth="1"/>
    <col min="8" max="8" width="17.109375" customWidth="1"/>
  </cols>
  <sheetData>
    <row r="1" spans="1:8" ht="18.75" customHeight="1" x14ac:dyDescent="0.3">
      <c r="A1" s="143" t="s">
        <v>0</v>
      </c>
      <c r="B1" s="144"/>
      <c r="C1" s="144"/>
      <c r="D1" s="144"/>
      <c r="E1" s="144"/>
      <c r="F1" s="144"/>
      <c r="G1" s="144"/>
      <c r="H1" s="145"/>
    </row>
    <row r="2" spans="1:8" ht="28.05" customHeight="1" x14ac:dyDescent="0.3">
      <c r="A2" s="146" t="s">
        <v>1</v>
      </c>
      <c r="B2" s="147"/>
      <c r="C2" s="147"/>
      <c r="D2" s="147"/>
      <c r="E2" s="147"/>
      <c r="F2" s="147"/>
      <c r="G2" s="147"/>
      <c r="H2" s="14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9</v>
      </c>
      <c r="D9" s="11"/>
      <c r="E9" s="127" t="s">
        <v>10</v>
      </c>
      <c r="F9" s="127"/>
      <c r="G9" s="128" t="s">
        <v>129</v>
      </c>
      <c r="H9" s="129"/>
    </row>
    <row r="10" spans="1:8" ht="21.75" customHeight="1" x14ac:dyDescent="0.3">
      <c r="A10" s="10" t="s">
        <v>12</v>
      </c>
      <c r="B10" s="11"/>
      <c r="C10" s="12" t="s">
        <v>13</v>
      </c>
      <c r="D10" s="11"/>
      <c r="E10" s="127" t="s">
        <v>14</v>
      </c>
      <c r="F10" s="127"/>
      <c r="G10" s="138">
        <v>46212</v>
      </c>
      <c r="H10" s="139"/>
    </row>
    <row r="11" spans="1:8" ht="21.75" customHeight="1" x14ac:dyDescent="0.3">
      <c r="A11" s="10" t="s">
        <v>15</v>
      </c>
      <c r="B11" s="11"/>
      <c r="C11" s="12" t="s">
        <v>16</v>
      </c>
      <c r="D11" s="11"/>
      <c r="E11" s="127" t="s">
        <v>17</v>
      </c>
      <c r="F11" s="127"/>
      <c r="G11" s="128" t="s">
        <v>18</v>
      </c>
      <c r="H11" s="129"/>
    </row>
    <row r="12" spans="1:8" ht="21.75" customHeight="1" x14ac:dyDescent="0.3">
      <c r="A12" s="10" t="s">
        <v>19</v>
      </c>
      <c r="B12" s="11"/>
      <c r="C12" s="12" t="s">
        <v>130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46204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20" t="s">
        <v>79</v>
      </c>
      <c r="B16" s="21"/>
      <c r="C16" s="21"/>
      <c r="D16" s="21"/>
      <c r="E16" s="22" t="s">
        <v>76</v>
      </c>
      <c r="F16" s="23"/>
      <c r="G16" s="22" t="s">
        <v>131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9" customHeight="1" x14ac:dyDescent="0.3">
      <c r="A19" s="1">
        <v>1</v>
      </c>
      <c r="B19" s="1" t="str">
        <f>Master_Items!B7</f>
        <v>09113BL</v>
      </c>
      <c r="C19" s="34" t="str">
        <f>Master_Items!C7</f>
        <v>BRIGHT M.S. 2" DIA. TOLERANCE ON DIA. +0.005"/+0.008". LENGTH: 18.5 FEET (En3B-BS970:1955)</v>
      </c>
      <c r="D19" s="33">
        <v>721550</v>
      </c>
      <c r="E19" s="2"/>
      <c r="F19" s="3">
        <v>1025</v>
      </c>
      <c r="G19" s="3">
        <v>70</v>
      </c>
      <c r="H19" s="3">
        <f t="shared" ref="H19:H22" si="0">F19*G19</f>
        <v>71750</v>
      </c>
    </row>
    <row r="20" spans="1:8" ht="39" customHeight="1" x14ac:dyDescent="0.3">
      <c r="A20" s="1">
        <v>2</v>
      </c>
      <c r="B20" s="1" t="str">
        <f>Master_Items!B13</f>
        <v>09158BL</v>
      </c>
      <c r="C20" s="34" t="str">
        <f>Master_Items!C13</f>
        <v>BRIGHT M.S. GB 45MM DIA. TOLERANCE ON DIA.</v>
      </c>
      <c r="D20" s="33">
        <v>721550</v>
      </c>
      <c r="E20" s="2"/>
      <c r="F20" s="3">
        <v>1299</v>
      </c>
      <c r="G20" s="3">
        <v>70</v>
      </c>
      <c r="H20" s="3">
        <f t="shared" si="0"/>
        <v>90930</v>
      </c>
    </row>
    <row r="21" spans="1:8" ht="39" customHeight="1" x14ac:dyDescent="0.3">
      <c r="A21" s="1">
        <v>3</v>
      </c>
      <c r="B21" s="1" t="str">
        <f>Master_Items!B9</f>
        <v>09283BL</v>
      </c>
      <c r="C21" s="34" t="str">
        <f>Master_Items!C9</f>
        <v>BRIGHT M.S. 1.1/2" DIA. TOLERANCE ON DIA. -0.002"/-0.005". LENGTH: 18-20 FEET (En3B-BS970:1955)</v>
      </c>
      <c r="D21" s="33">
        <v>721550</v>
      </c>
      <c r="E21" s="2"/>
      <c r="F21" s="3">
        <v>1033</v>
      </c>
      <c r="G21" s="3">
        <v>70</v>
      </c>
      <c r="H21" s="3">
        <f t="shared" si="0"/>
        <v>72310</v>
      </c>
    </row>
    <row r="22" spans="1:8" ht="39" customHeight="1" x14ac:dyDescent="0.3">
      <c r="A22" s="1">
        <v>4</v>
      </c>
      <c r="B22" s="1" t="str">
        <f>Master_Items!B27</f>
        <v>09246BL</v>
      </c>
      <c r="C22" s="34" t="s">
        <v>207</v>
      </c>
      <c r="D22" s="33">
        <v>721610</v>
      </c>
      <c r="E22" s="2"/>
      <c r="F22" s="3">
        <v>1100</v>
      </c>
      <c r="G22" s="3">
        <v>60</v>
      </c>
      <c r="H22" s="3">
        <f t="shared" si="0"/>
        <v>66000</v>
      </c>
    </row>
    <row r="23" spans="1:8" ht="39" customHeight="1" x14ac:dyDescent="0.3">
      <c r="A23" s="1"/>
      <c r="B23" s="32"/>
      <c r="C23" s="80" t="s">
        <v>209</v>
      </c>
      <c r="D23" s="33"/>
      <c r="E23" s="2"/>
      <c r="F23" s="107">
        <f>SUM(F19:F22)</f>
        <v>4457</v>
      </c>
      <c r="G23" s="3"/>
      <c r="H23" s="3"/>
    </row>
    <row r="25" spans="1:8" ht="22.5" customHeight="1" x14ac:dyDescent="0.3">
      <c r="E25" s="132" t="s">
        <v>41</v>
      </c>
      <c r="F25" s="132"/>
      <c r="G25" s="132"/>
      <c r="H25" s="5">
        <f>SUM(H19:H23)</f>
        <v>300990</v>
      </c>
    </row>
    <row r="26" spans="1:8" ht="22.5" customHeight="1" x14ac:dyDescent="0.3">
      <c r="E26" s="132" t="s">
        <v>42</v>
      </c>
      <c r="F26" s="132"/>
      <c r="G26" s="132"/>
      <c r="H26" s="5"/>
    </row>
    <row r="27" spans="1:8" ht="22.5" customHeight="1" x14ac:dyDescent="0.3">
      <c r="E27" s="133" t="s">
        <v>43</v>
      </c>
      <c r="F27" s="133"/>
      <c r="G27" s="133"/>
      <c r="H27" s="6">
        <f>SUM(H25:H26)</f>
        <v>300990</v>
      </c>
    </row>
    <row r="28" spans="1:8" ht="22.5" customHeight="1" x14ac:dyDescent="0.3">
      <c r="E28" s="132" t="s">
        <v>44</v>
      </c>
      <c r="F28" s="132"/>
      <c r="G28" s="132"/>
      <c r="H28" s="5">
        <f>$H$27*9%</f>
        <v>27089.1</v>
      </c>
    </row>
    <row r="29" spans="1:8" ht="22.5" customHeight="1" x14ac:dyDescent="0.3">
      <c r="E29" s="132" t="s">
        <v>45</v>
      </c>
      <c r="F29" s="132"/>
      <c r="G29" s="132"/>
      <c r="H29" s="5">
        <f>$H$27*9%</f>
        <v>27089.1</v>
      </c>
    </row>
    <row r="30" spans="1:8" ht="22.5" customHeight="1" x14ac:dyDescent="0.35">
      <c r="E30" s="134" t="s">
        <v>46</v>
      </c>
      <c r="F30" s="134"/>
      <c r="G30" s="134"/>
      <c r="H30" s="7">
        <f>SUM(H27:H29)</f>
        <v>355168.19999999995</v>
      </c>
    </row>
    <row r="32" spans="1:8" ht="18.75" customHeight="1" x14ac:dyDescent="0.3">
      <c r="A32" s="135" t="s">
        <v>208</v>
      </c>
      <c r="B32" s="136"/>
      <c r="C32" s="136"/>
      <c r="D32" s="136"/>
      <c r="E32" s="136"/>
      <c r="F32" s="136"/>
      <c r="G32" s="136"/>
      <c r="H32" s="137"/>
    </row>
    <row r="33" spans="1:8" x14ac:dyDescent="0.3">
      <c r="A33" s="26"/>
      <c r="B33" s="26"/>
      <c r="C33" s="26"/>
      <c r="D33" s="26"/>
      <c r="E33" s="26"/>
      <c r="F33" s="26"/>
      <c r="G33" s="26"/>
      <c r="H33" s="26"/>
    </row>
    <row r="34" spans="1:8" ht="17.399999999999999" x14ac:dyDescent="0.35">
      <c r="A34" s="124" t="s">
        <v>83</v>
      </c>
      <c r="B34" s="125"/>
      <c r="C34" s="126"/>
      <c r="D34" s="36"/>
      <c r="E34" s="28"/>
      <c r="F34" s="28"/>
      <c r="G34" s="28"/>
      <c r="H34" s="29" t="s">
        <v>47</v>
      </c>
    </row>
    <row r="35" spans="1:8" ht="15" customHeight="1" x14ac:dyDescent="0.3">
      <c r="A35" s="114" t="s">
        <v>48</v>
      </c>
      <c r="B35" s="115"/>
      <c r="C35" s="25" t="s">
        <v>49</v>
      </c>
      <c r="D35" s="37"/>
      <c r="E35" s="116" t="s">
        <v>50</v>
      </c>
      <c r="F35" s="116"/>
      <c r="G35" s="116"/>
      <c r="H35" s="117"/>
    </row>
    <row r="36" spans="1:8" x14ac:dyDescent="0.3">
      <c r="A36" s="114" t="s">
        <v>51</v>
      </c>
      <c r="B36" s="115"/>
      <c r="C36" s="72" t="s">
        <v>111</v>
      </c>
      <c r="D36" s="37"/>
      <c r="E36" s="118"/>
      <c r="F36" s="118"/>
      <c r="G36" s="118"/>
      <c r="H36" s="119"/>
    </row>
    <row r="37" spans="1:8" x14ac:dyDescent="0.3">
      <c r="A37" s="114" t="s">
        <v>52</v>
      </c>
      <c r="B37" s="115"/>
      <c r="C37" s="25" t="s">
        <v>53</v>
      </c>
      <c r="D37" s="37"/>
      <c r="E37" s="26"/>
      <c r="F37" s="26"/>
      <c r="G37" s="26"/>
      <c r="H37" s="30"/>
    </row>
    <row r="38" spans="1:8" x14ac:dyDescent="0.3">
      <c r="A38" s="120" t="s">
        <v>54</v>
      </c>
      <c r="B38" s="121"/>
      <c r="C38" s="31" t="s">
        <v>55</v>
      </c>
      <c r="D38" s="38"/>
      <c r="E38" s="122" t="s">
        <v>56</v>
      </c>
      <c r="F38" s="122"/>
      <c r="G38" s="122"/>
      <c r="H38" s="123"/>
    </row>
    <row r="39" spans="1:8" x14ac:dyDescent="0.3">
      <c r="A39" s="26"/>
      <c r="B39" s="26"/>
      <c r="C39" s="26"/>
      <c r="D39" s="26"/>
      <c r="E39" s="112"/>
      <c r="F39" s="112"/>
      <c r="G39" s="112"/>
      <c r="H39" s="112"/>
    </row>
    <row r="40" spans="1:8" x14ac:dyDescent="0.3">
      <c r="A40" s="113" t="s">
        <v>57</v>
      </c>
      <c r="B40" s="113"/>
      <c r="C40" s="113"/>
      <c r="D40" s="113"/>
      <c r="E40" s="113"/>
      <c r="F40" s="113"/>
      <c r="G40" s="113"/>
      <c r="H40" s="113"/>
    </row>
    <row r="41" spans="1:8" x14ac:dyDescent="0.3">
      <c r="A41" s="113" t="s">
        <v>58</v>
      </c>
      <c r="B41" s="113"/>
      <c r="C41" s="113"/>
      <c r="D41" s="113"/>
      <c r="E41" s="113"/>
      <c r="F41" s="113"/>
      <c r="G41" s="113"/>
      <c r="H41" s="113"/>
    </row>
  </sheetData>
  <mergeCells count="35">
    <mergeCell ref="A8:D8"/>
    <mergeCell ref="E8:H8"/>
    <mergeCell ref="A1:H1"/>
    <mergeCell ref="A2:H2"/>
    <mergeCell ref="A4:H4"/>
    <mergeCell ref="A5:H5"/>
    <mergeCell ref="A6:H6"/>
    <mergeCell ref="E9:F9"/>
    <mergeCell ref="G9:H9"/>
    <mergeCell ref="E10:F10"/>
    <mergeCell ref="G10:H10"/>
    <mergeCell ref="E11:F11"/>
    <mergeCell ref="G11:H11"/>
    <mergeCell ref="A34:C34"/>
    <mergeCell ref="E12:F12"/>
    <mergeCell ref="G12:H12"/>
    <mergeCell ref="E14:F14"/>
    <mergeCell ref="G14:H14"/>
    <mergeCell ref="E25:G25"/>
    <mergeCell ref="E26:G26"/>
    <mergeCell ref="E27:G27"/>
    <mergeCell ref="E28:G28"/>
    <mergeCell ref="E29:G29"/>
    <mergeCell ref="E30:G30"/>
    <mergeCell ref="A32:H32"/>
    <mergeCell ref="E39:H39"/>
    <mergeCell ref="A40:H40"/>
    <mergeCell ref="A41:H41"/>
    <mergeCell ref="A35:B35"/>
    <mergeCell ref="E35:H35"/>
    <mergeCell ref="A36:B36"/>
    <mergeCell ref="E36:H36"/>
    <mergeCell ref="A37:B37"/>
    <mergeCell ref="A38:B38"/>
    <mergeCell ref="E38:H38"/>
  </mergeCells>
  <pageMargins left="0.7" right="0.7" top="0.75" bottom="0.75" header="0.3" footer="0.3"/>
  <pageSetup scale="75" fitToWidth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BFD2-A6E5-4C1B-A511-2E79BCB7312B}">
  <sheetPr>
    <pageSetUpPr fitToPage="1"/>
  </sheetPr>
  <dimension ref="A1:H43"/>
  <sheetViews>
    <sheetView showGridLines="0" topLeftCell="A16" zoomScale="143" zoomScaleNormal="100" workbookViewId="0">
      <selection activeCell="B20" sqref="B20"/>
    </sheetView>
  </sheetViews>
  <sheetFormatPr defaultColWidth="8.6640625" defaultRowHeight="14.4" x14ac:dyDescent="0.3"/>
  <cols>
    <col min="1" max="1" width="4.6640625" customWidth="1"/>
    <col min="2" max="2" width="11.5546875" customWidth="1"/>
    <col min="3" max="3" width="42.5546875" customWidth="1"/>
    <col min="4" max="4" width="10" customWidth="1"/>
    <col min="5" max="5" width="7.88671875" customWidth="1"/>
    <col min="6" max="6" width="11.44140625" customWidth="1"/>
    <col min="7" max="7" width="10.109375" customWidth="1"/>
    <col min="8" max="8" width="17.109375" customWidth="1"/>
  </cols>
  <sheetData>
    <row r="1" spans="1:8" ht="18.75" customHeight="1" x14ac:dyDescent="0.3">
      <c r="A1" s="143" t="s">
        <v>0</v>
      </c>
      <c r="B1" s="144"/>
      <c r="C1" s="144"/>
      <c r="D1" s="144"/>
      <c r="E1" s="144"/>
      <c r="F1" s="144"/>
      <c r="G1" s="144"/>
      <c r="H1" s="145"/>
    </row>
    <row r="2" spans="1:8" ht="28.05" customHeight="1" x14ac:dyDescent="0.3">
      <c r="A2" s="146" t="s">
        <v>1</v>
      </c>
      <c r="B2" s="147"/>
      <c r="C2" s="147"/>
      <c r="D2" s="147"/>
      <c r="E2" s="147"/>
      <c r="F2" s="147"/>
      <c r="G2" s="147"/>
      <c r="H2" s="14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9</v>
      </c>
      <c r="D9" s="11"/>
      <c r="E9" s="127" t="s">
        <v>10</v>
      </c>
      <c r="F9" s="127"/>
      <c r="G9" s="128" t="s">
        <v>206</v>
      </c>
      <c r="H9" s="129"/>
    </row>
    <row r="10" spans="1:8" ht="21.75" customHeight="1" x14ac:dyDescent="0.3">
      <c r="A10" s="10" t="s">
        <v>12</v>
      </c>
      <c r="B10" s="11"/>
      <c r="C10" s="12" t="s">
        <v>13</v>
      </c>
      <c r="D10" s="11"/>
      <c r="E10" s="127" t="s">
        <v>14</v>
      </c>
      <c r="F10" s="127"/>
      <c r="G10" s="138">
        <v>46212</v>
      </c>
      <c r="H10" s="139"/>
    </row>
    <row r="11" spans="1:8" ht="21.75" customHeight="1" x14ac:dyDescent="0.3">
      <c r="A11" s="10" t="s">
        <v>15</v>
      </c>
      <c r="B11" s="11"/>
      <c r="C11" s="12" t="s">
        <v>16</v>
      </c>
      <c r="D11" s="11"/>
      <c r="E11" s="127" t="s">
        <v>17</v>
      </c>
      <c r="F11" s="127"/>
      <c r="G11" s="128" t="s">
        <v>18</v>
      </c>
      <c r="H11" s="129"/>
    </row>
    <row r="12" spans="1:8" ht="21.75" customHeight="1" x14ac:dyDescent="0.3">
      <c r="A12" s="10" t="s">
        <v>19</v>
      </c>
      <c r="B12" s="11"/>
      <c r="C12" s="12" t="s">
        <v>80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46148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20" t="s">
        <v>79</v>
      </c>
      <c r="B16" s="21"/>
      <c r="C16" s="21"/>
      <c r="D16" s="21"/>
      <c r="E16" s="22" t="s">
        <v>76</v>
      </c>
      <c r="F16" s="23"/>
      <c r="G16" s="22" t="s">
        <v>131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9" customHeight="1" x14ac:dyDescent="0.3">
      <c r="A19" s="1">
        <v>1</v>
      </c>
      <c r="B19" s="1" t="str">
        <f>Master_Items!B14</f>
        <v>09110BL</v>
      </c>
      <c r="C19" s="34" t="str">
        <f>Master_Items!C14</f>
        <v>BRIGHT M.S. 1" DIA. TOLERANCE -0.005"/-0.008". LENGTH: 8-12 FT (En3B-BS970:1955)</v>
      </c>
      <c r="D19" s="33">
        <v>721550</v>
      </c>
      <c r="E19" s="2"/>
      <c r="F19" s="3">
        <v>555</v>
      </c>
      <c r="G19" s="3">
        <v>70</v>
      </c>
      <c r="H19" s="3">
        <f t="shared" ref="H19:H23" si="0">F19*G19</f>
        <v>38850</v>
      </c>
    </row>
    <row r="20" spans="1:8" ht="39" customHeight="1" x14ac:dyDescent="0.3">
      <c r="A20" s="1">
        <v>2</v>
      </c>
      <c r="B20" s="1" t="str">
        <f>Master_Items!B15</f>
        <v>09111BL</v>
      </c>
      <c r="C20" s="34" t="str">
        <f>Master_Items!C15</f>
        <v>BRIGHT MS 1.1/4" DIA. TOLERANCE -0.002"/-0.005". LENGTH: 20-21 FEET (En3B-BS970:1955)</v>
      </c>
      <c r="D20" s="33">
        <v>721550</v>
      </c>
      <c r="E20" s="2"/>
      <c r="F20" s="3">
        <v>556</v>
      </c>
      <c r="G20" s="3">
        <v>70</v>
      </c>
      <c r="H20" s="3">
        <f t="shared" si="0"/>
        <v>38920</v>
      </c>
    </row>
    <row r="21" spans="1:8" ht="39" customHeight="1" x14ac:dyDescent="0.3">
      <c r="A21" s="1">
        <v>3</v>
      </c>
      <c r="B21" s="1" t="str">
        <f>Master_Items!B9</f>
        <v>09283BL</v>
      </c>
      <c r="C21" s="34" t="str">
        <f>Master_Items!C9</f>
        <v>BRIGHT M.S. 1.1/2" DIA. TOLERANCE ON DIA. -0.002"/-0.005". LENGTH: 18-20 FEET (En3B-BS970:1955)</v>
      </c>
      <c r="D21" s="33">
        <v>721550</v>
      </c>
      <c r="E21" s="2"/>
      <c r="F21" s="3">
        <v>625</v>
      </c>
      <c r="G21" s="3">
        <v>70</v>
      </c>
      <c r="H21" s="3">
        <f t="shared" si="0"/>
        <v>43750</v>
      </c>
    </row>
    <row r="22" spans="1:8" ht="39" customHeight="1" x14ac:dyDescent="0.3">
      <c r="A22" s="1">
        <v>4</v>
      </c>
      <c r="B22" s="1" t="str">
        <f>Master_Items!B2</f>
        <v>09112BL</v>
      </c>
      <c r="C22" s="34" t="str">
        <f>Master_Items!C2</f>
        <v>BRIGHT M.S. 1.3/4" DIA. TOLERANCE ON DIA. -0.002"/-0.005". LENGTH: 19-20 FEET (En3B-BS970:1955)</v>
      </c>
      <c r="D22" s="33">
        <v>721550</v>
      </c>
      <c r="E22" s="2"/>
      <c r="F22" s="3">
        <v>540</v>
      </c>
      <c r="G22" s="3">
        <v>70</v>
      </c>
      <c r="H22" s="3">
        <f t="shared" si="0"/>
        <v>37800</v>
      </c>
    </row>
    <row r="23" spans="1:8" ht="39" customHeight="1" x14ac:dyDescent="0.3">
      <c r="A23" s="1"/>
      <c r="B23" s="1" t="str">
        <f>Master_Items!B29</f>
        <v>09427BL</v>
      </c>
      <c r="C23" s="34" t="str">
        <f>Master_Items!C29</f>
        <v>M.S. ANGLE 3" X 3" X 1/4" (75X75X6 MM), LENGTH: 18-20 FT</v>
      </c>
      <c r="D23" s="33">
        <v>721621</v>
      </c>
      <c r="E23" s="2"/>
      <c r="F23" s="3">
        <v>780</v>
      </c>
      <c r="G23" s="3">
        <v>60</v>
      </c>
      <c r="H23" s="3">
        <f t="shared" si="0"/>
        <v>46800</v>
      </c>
    </row>
    <row r="24" spans="1:8" ht="39" customHeight="1" x14ac:dyDescent="0.3">
      <c r="A24" s="1"/>
      <c r="B24" s="1" t="str">
        <f>Master_Items!B25</f>
        <v>09394BL</v>
      </c>
      <c r="C24" s="34" t="s">
        <v>205</v>
      </c>
      <c r="D24" s="33">
        <v>721114</v>
      </c>
      <c r="E24" s="2" t="s">
        <v>211</v>
      </c>
      <c r="F24" s="3">
        <v>297.60000000000002</v>
      </c>
      <c r="G24" s="3">
        <v>60</v>
      </c>
      <c r="H24" s="3">
        <f>F24*G24</f>
        <v>17856</v>
      </c>
    </row>
    <row r="25" spans="1:8" ht="39" customHeight="1" x14ac:dyDescent="0.3">
      <c r="A25" s="1"/>
      <c r="B25" s="1"/>
      <c r="C25" s="80" t="s">
        <v>212</v>
      </c>
      <c r="D25" s="33"/>
      <c r="E25" s="2"/>
      <c r="F25" s="108">
        <f>SUM(F19:F24)</f>
        <v>3353.6</v>
      </c>
      <c r="G25" s="3"/>
      <c r="H25" s="3"/>
    </row>
    <row r="27" spans="1:8" ht="22.5" customHeight="1" x14ac:dyDescent="0.3">
      <c r="E27" s="132" t="s">
        <v>41</v>
      </c>
      <c r="F27" s="132"/>
      <c r="G27" s="132"/>
      <c r="H27" s="5">
        <f>SUM(H19:H25)</f>
        <v>223976</v>
      </c>
    </row>
    <row r="28" spans="1:8" ht="22.5" customHeight="1" x14ac:dyDescent="0.3">
      <c r="E28" s="132" t="s">
        <v>42</v>
      </c>
      <c r="F28" s="132"/>
      <c r="G28" s="132"/>
      <c r="H28" s="5">
        <v>16500</v>
      </c>
    </row>
    <row r="29" spans="1:8" ht="22.5" customHeight="1" x14ac:dyDescent="0.3">
      <c r="E29" s="133" t="s">
        <v>43</v>
      </c>
      <c r="F29" s="133"/>
      <c r="G29" s="133"/>
      <c r="H29" s="6">
        <f>SUM(H27:H28)</f>
        <v>240476</v>
      </c>
    </row>
    <row r="30" spans="1:8" ht="22.5" customHeight="1" x14ac:dyDescent="0.3">
      <c r="E30" s="132" t="s">
        <v>44</v>
      </c>
      <c r="F30" s="132"/>
      <c r="G30" s="132"/>
      <c r="H30" s="5">
        <f>$H$29*9%</f>
        <v>21642.84</v>
      </c>
    </row>
    <row r="31" spans="1:8" ht="22.5" customHeight="1" x14ac:dyDescent="0.3">
      <c r="E31" s="132" t="s">
        <v>45</v>
      </c>
      <c r="F31" s="132"/>
      <c r="G31" s="132"/>
      <c r="H31" s="5">
        <f>$H$29*9%</f>
        <v>21642.84</v>
      </c>
    </row>
    <row r="32" spans="1:8" ht="22.5" customHeight="1" x14ac:dyDescent="0.35">
      <c r="E32" s="134" t="s">
        <v>46</v>
      </c>
      <c r="F32" s="134"/>
      <c r="G32" s="134"/>
      <c r="H32" s="7">
        <f>SUM(H29:H31)</f>
        <v>283761.68</v>
      </c>
    </row>
    <row r="34" spans="1:8" ht="18.75" customHeight="1" x14ac:dyDescent="0.3">
      <c r="A34" s="135" t="s">
        <v>210</v>
      </c>
      <c r="B34" s="136"/>
      <c r="C34" s="136"/>
      <c r="D34" s="136"/>
      <c r="E34" s="136"/>
      <c r="F34" s="136"/>
      <c r="G34" s="136"/>
      <c r="H34" s="137"/>
    </row>
    <row r="35" spans="1:8" x14ac:dyDescent="0.3">
      <c r="A35" s="26"/>
      <c r="B35" s="26"/>
      <c r="C35" s="26"/>
      <c r="D35" s="26"/>
      <c r="E35" s="26"/>
      <c r="F35" s="26"/>
      <c r="G35" s="26"/>
      <c r="H35" s="26"/>
    </row>
    <row r="36" spans="1:8" ht="17.399999999999999" x14ac:dyDescent="0.35">
      <c r="A36" s="124" t="s">
        <v>83</v>
      </c>
      <c r="B36" s="125"/>
      <c r="C36" s="126"/>
      <c r="D36" s="36"/>
      <c r="E36" s="28"/>
      <c r="F36" s="28"/>
      <c r="G36" s="28"/>
      <c r="H36" s="29" t="s">
        <v>47</v>
      </c>
    </row>
    <row r="37" spans="1:8" ht="15" customHeight="1" x14ac:dyDescent="0.3">
      <c r="A37" s="114" t="s">
        <v>48</v>
      </c>
      <c r="B37" s="115"/>
      <c r="C37" s="25" t="s">
        <v>49</v>
      </c>
      <c r="D37" s="37"/>
      <c r="E37" s="116" t="s">
        <v>50</v>
      </c>
      <c r="F37" s="116"/>
      <c r="G37" s="116"/>
      <c r="H37" s="117"/>
    </row>
    <row r="38" spans="1:8" x14ac:dyDescent="0.3">
      <c r="A38" s="114" t="s">
        <v>51</v>
      </c>
      <c r="B38" s="115"/>
      <c r="C38" s="72" t="s">
        <v>111</v>
      </c>
      <c r="D38" s="37"/>
      <c r="E38" s="118"/>
      <c r="F38" s="118"/>
      <c r="G38" s="118"/>
      <c r="H38" s="119"/>
    </row>
    <row r="39" spans="1:8" x14ac:dyDescent="0.3">
      <c r="A39" s="114" t="s">
        <v>52</v>
      </c>
      <c r="B39" s="115"/>
      <c r="C39" s="25" t="s">
        <v>53</v>
      </c>
      <c r="D39" s="37"/>
      <c r="E39" s="26"/>
      <c r="F39" s="26"/>
      <c r="G39" s="26"/>
      <c r="H39" s="30"/>
    </row>
    <row r="40" spans="1:8" x14ac:dyDescent="0.3">
      <c r="A40" s="120" t="s">
        <v>54</v>
      </c>
      <c r="B40" s="121"/>
      <c r="C40" s="31" t="s">
        <v>55</v>
      </c>
      <c r="D40" s="38"/>
      <c r="E40" s="122" t="s">
        <v>56</v>
      </c>
      <c r="F40" s="122"/>
      <c r="G40" s="122"/>
      <c r="H40" s="123"/>
    </row>
    <row r="41" spans="1:8" x14ac:dyDescent="0.3">
      <c r="A41" s="26"/>
      <c r="B41" s="26"/>
      <c r="C41" s="26"/>
      <c r="D41" s="26"/>
      <c r="E41" s="112"/>
      <c r="F41" s="112"/>
      <c r="G41" s="112"/>
      <c r="H41" s="112"/>
    </row>
    <row r="42" spans="1:8" x14ac:dyDescent="0.3">
      <c r="A42" s="113" t="s">
        <v>57</v>
      </c>
      <c r="B42" s="113"/>
      <c r="C42" s="113"/>
      <c r="D42" s="113"/>
      <c r="E42" s="113"/>
      <c r="F42" s="113"/>
      <c r="G42" s="113"/>
      <c r="H42" s="113"/>
    </row>
    <row r="43" spans="1:8" x14ac:dyDescent="0.3">
      <c r="A43" s="113" t="s">
        <v>58</v>
      </c>
      <c r="B43" s="113"/>
      <c r="C43" s="113"/>
      <c r="D43" s="113"/>
      <c r="E43" s="113"/>
      <c r="F43" s="113"/>
      <c r="G43" s="113"/>
      <c r="H43" s="113"/>
    </row>
  </sheetData>
  <mergeCells count="35">
    <mergeCell ref="A8:D8"/>
    <mergeCell ref="E8:H8"/>
    <mergeCell ref="A1:H1"/>
    <mergeCell ref="A2:H2"/>
    <mergeCell ref="A4:H4"/>
    <mergeCell ref="A5:H5"/>
    <mergeCell ref="A6:H6"/>
    <mergeCell ref="E9:F9"/>
    <mergeCell ref="G9:H9"/>
    <mergeCell ref="E10:F10"/>
    <mergeCell ref="G10:H10"/>
    <mergeCell ref="E11:F11"/>
    <mergeCell ref="G11:H11"/>
    <mergeCell ref="A36:C36"/>
    <mergeCell ref="E12:F12"/>
    <mergeCell ref="G12:H12"/>
    <mergeCell ref="E14:F14"/>
    <mergeCell ref="G14:H14"/>
    <mergeCell ref="E27:G27"/>
    <mergeCell ref="E28:G28"/>
    <mergeCell ref="E29:G29"/>
    <mergeCell ref="E30:G30"/>
    <mergeCell ref="E31:G31"/>
    <mergeCell ref="E32:G32"/>
    <mergeCell ref="A34:H34"/>
    <mergeCell ref="E41:H41"/>
    <mergeCell ref="A42:H42"/>
    <mergeCell ref="A43:H43"/>
    <mergeCell ref="A37:B37"/>
    <mergeCell ref="E37:H37"/>
    <mergeCell ref="A38:B38"/>
    <mergeCell ref="E38:H38"/>
    <mergeCell ref="A39:B39"/>
    <mergeCell ref="A40:B40"/>
    <mergeCell ref="E40:H40"/>
  </mergeCells>
  <pageMargins left="0.7" right="0.7" top="0.75" bottom="0.75" header="0.3" footer="0.3"/>
  <pageSetup scale="69" fitToWidth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showGridLines="0" topLeftCell="A6" zoomScale="96" zoomScaleNormal="100" workbookViewId="0">
      <selection sqref="A1:H1"/>
    </sheetView>
  </sheetViews>
  <sheetFormatPr defaultColWidth="8.6640625" defaultRowHeight="14.4" x14ac:dyDescent="0.3"/>
  <cols>
    <col min="1" max="1" width="4.6640625" customWidth="1"/>
    <col min="2" max="2" width="15" customWidth="1"/>
    <col min="3" max="3" width="42.5546875" customWidth="1"/>
    <col min="4" max="4" width="8.6640625" customWidth="1"/>
    <col min="5" max="5" width="9.77734375" customWidth="1"/>
    <col min="6" max="6" width="10" bestFit="1" customWidth="1"/>
    <col min="7" max="7" width="10.109375" customWidth="1"/>
    <col min="8" max="8" width="18" customWidth="1"/>
  </cols>
  <sheetData>
    <row r="1" spans="1:8" ht="18.75" customHeight="1" x14ac:dyDescent="0.3">
      <c r="A1" s="143" t="s">
        <v>0</v>
      </c>
      <c r="B1" s="144"/>
      <c r="C1" s="144"/>
      <c r="D1" s="144"/>
      <c r="E1" s="144"/>
      <c r="F1" s="144"/>
      <c r="G1" s="144"/>
      <c r="H1" s="145"/>
    </row>
    <row r="2" spans="1:8" ht="18.75" customHeight="1" x14ac:dyDescent="0.3">
      <c r="A2" s="146" t="s">
        <v>1</v>
      </c>
      <c r="B2" s="147"/>
      <c r="C2" s="147"/>
      <c r="D2" s="147"/>
      <c r="E2" s="147"/>
      <c r="F2" s="147"/>
      <c r="G2" s="147"/>
      <c r="H2" s="14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9</v>
      </c>
      <c r="D9" s="11"/>
      <c r="E9" s="127" t="s">
        <v>10</v>
      </c>
      <c r="F9" s="127"/>
      <c r="G9" s="128" t="s">
        <v>11</v>
      </c>
      <c r="H9" s="129"/>
    </row>
    <row r="10" spans="1:8" ht="21.75" customHeight="1" x14ac:dyDescent="0.3">
      <c r="A10" s="10" t="s">
        <v>12</v>
      </c>
      <c r="B10" s="11"/>
      <c r="C10" s="12" t="s">
        <v>13</v>
      </c>
      <c r="D10" s="11"/>
      <c r="E10" s="127" t="s">
        <v>14</v>
      </c>
      <c r="F10" s="127"/>
      <c r="G10" s="138">
        <v>46161</v>
      </c>
      <c r="H10" s="139"/>
    </row>
    <row r="11" spans="1:8" ht="21.75" customHeight="1" x14ac:dyDescent="0.3">
      <c r="A11" s="10" t="s">
        <v>15</v>
      </c>
      <c r="B11" s="11"/>
      <c r="C11" s="12" t="s">
        <v>16</v>
      </c>
      <c r="D11" s="11"/>
      <c r="E11" s="127" t="s">
        <v>17</v>
      </c>
      <c r="F11" s="127"/>
      <c r="G11" s="128" t="s">
        <v>18</v>
      </c>
      <c r="H11" s="129"/>
    </row>
    <row r="12" spans="1:8" ht="21.75" customHeight="1" x14ac:dyDescent="0.3">
      <c r="A12" s="10" t="s">
        <v>19</v>
      </c>
      <c r="B12" s="11"/>
      <c r="C12" s="12" t="s">
        <v>80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46148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20" t="s">
        <v>81</v>
      </c>
      <c r="B16" s="21"/>
      <c r="C16" s="21"/>
      <c r="D16" s="21"/>
      <c r="E16" s="22" t="s">
        <v>76</v>
      </c>
      <c r="F16" s="23"/>
      <c r="G16" s="40" t="s">
        <v>77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4.950000000000003" customHeight="1" x14ac:dyDescent="0.3">
      <c r="A19" s="1">
        <v>1</v>
      </c>
      <c r="B19" s="32" t="s">
        <v>35</v>
      </c>
      <c r="C19" s="34" t="s">
        <v>75</v>
      </c>
      <c r="D19" s="33">
        <v>721550</v>
      </c>
      <c r="E19" s="2">
        <v>7</v>
      </c>
      <c r="F19" s="3">
        <v>503</v>
      </c>
      <c r="G19" s="3">
        <v>70</v>
      </c>
      <c r="H19" s="3">
        <f>F19*G19</f>
        <v>35210</v>
      </c>
    </row>
    <row r="20" spans="1:8" ht="34.950000000000003" customHeight="1" x14ac:dyDescent="0.3">
      <c r="A20" s="1">
        <v>2</v>
      </c>
      <c r="B20" s="32" t="s">
        <v>36</v>
      </c>
      <c r="C20" s="34" t="s">
        <v>74</v>
      </c>
      <c r="D20" s="33">
        <v>721550</v>
      </c>
      <c r="E20" s="2">
        <v>5</v>
      </c>
      <c r="F20" s="3">
        <v>501</v>
      </c>
      <c r="G20" s="3">
        <v>70</v>
      </c>
      <c r="H20" s="3">
        <f>F20*G20</f>
        <v>35070</v>
      </c>
    </row>
    <row r="21" spans="1:8" ht="34.950000000000003" customHeight="1" x14ac:dyDescent="0.3">
      <c r="A21" s="1">
        <v>3</v>
      </c>
      <c r="B21" s="32" t="s">
        <v>37</v>
      </c>
      <c r="C21" s="34" t="s">
        <v>73</v>
      </c>
      <c r="D21" s="33">
        <v>721550</v>
      </c>
      <c r="E21" s="2">
        <v>4</v>
      </c>
      <c r="F21" s="3">
        <v>667</v>
      </c>
      <c r="G21" s="3">
        <v>71</v>
      </c>
      <c r="H21" s="3">
        <f>F21*G21</f>
        <v>47357</v>
      </c>
    </row>
    <row r="22" spans="1:8" ht="34.950000000000003" customHeight="1" x14ac:dyDescent="0.3">
      <c r="A22" s="1">
        <v>4</v>
      </c>
      <c r="B22" s="32" t="s">
        <v>38</v>
      </c>
      <c r="C22" s="34" t="s">
        <v>39</v>
      </c>
      <c r="D22" s="33">
        <v>721550</v>
      </c>
      <c r="E22" s="2">
        <v>13</v>
      </c>
      <c r="F22" s="3">
        <v>1010</v>
      </c>
      <c r="G22" s="3">
        <v>70</v>
      </c>
      <c r="H22" s="3">
        <f>F22*G22</f>
        <v>70700</v>
      </c>
    </row>
    <row r="23" spans="1:8" ht="27.6" x14ac:dyDescent="0.3">
      <c r="A23" s="1">
        <v>5</v>
      </c>
      <c r="B23" s="32" t="s">
        <v>40</v>
      </c>
      <c r="C23" s="34" t="s">
        <v>72</v>
      </c>
      <c r="D23" s="33">
        <v>721550</v>
      </c>
      <c r="E23" s="2">
        <v>11</v>
      </c>
      <c r="F23" s="3">
        <v>604</v>
      </c>
      <c r="G23" s="3">
        <v>70</v>
      </c>
      <c r="H23" s="3">
        <f>F23*G23</f>
        <v>42280</v>
      </c>
    </row>
    <row r="24" spans="1:8" ht="34.950000000000003" customHeight="1" x14ac:dyDescent="0.3">
      <c r="A24" s="1"/>
      <c r="B24" s="32"/>
      <c r="C24" s="34"/>
      <c r="D24" s="33"/>
      <c r="E24" s="2"/>
      <c r="F24" s="3"/>
      <c r="G24" s="3"/>
      <c r="H24" s="3"/>
    </row>
    <row r="25" spans="1:8" ht="34.950000000000003" customHeight="1" x14ac:dyDescent="0.3">
      <c r="A25" s="1"/>
      <c r="B25" s="32"/>
      <c r="C25" s="34"/>
      <c r="D25" s="33"/>
      <c r="E25" s="2"/>
      <c r="F25" s="3"/>
      <c r="G25" s="3"/>
      <c r="H25" s="3"/>
    </row>
    <row r="26" spans="1:8" ht="34.950000000000003" customHeight="1" x14ac:dyDescent="0.3">
      <c r="A26" s="4"/>
      <c r="B26" s="4"/>
      <c r="C26" s="35"/>
      <c r="D26" s="4"/>
      <c r="E26" s="4"/>
      <c r="F26" s="4"/>
      <c r="G26" s="4"/>
      <c r="H26" s="4"/>
    </row>
    <row r="28" spans="1:8" ht="22.5" customHeight="1" x14ac:dyDescent="0.3">
      <c r="E28" s="132" t="s">
        <v>41</v>
      </c>
      <c r="F28" s="132"/>
      <c r="G28" s="132"/>
      <c r="H28" s="5">
        <f>SUM(H19:H26)</f>
        <v>230617</v>
      </c>
    </row>
    <row r="29" spans="1:8" ht="22.5" customHeight="1" x14ac:dyDescent="0.3">
      <c r="E29" s="132" t="s">
        <v>42</v>
      </c>
      <c r="F29" s="132"/>
      <c r="G29" s="132"/>
      <c r="H29" s="5">
        <v>0</v>
      </c>
    </row>
    <row r="30" spans="1:8" ht="22.5" customHeight="1" x14ac:dyDescent="0.3">
      <c r="E30" s="133" t="s">
        <v>43</v>
      </c>
      <c r="F30" s="133"/>
      <c r="G30" s="133"/>
      <c r="H30" s="6">
        <f>SUM(H28:H29)</f>
        <v>230617</v>
      </c>
    </row>
    <row r="31" spans="1:8" ht="22.5" customHeight="1" x14ac:dyDescent="0.3">
      <c r="E31" s="132" t="s">
        <v>44</v>
      </c>
      <c r="F31" s="132"/>
      <c r="G31" s="132"/>
      <c r="H31" s="5">
        <f>$H$30*9%</f>
        <v>20755.53</v>
      </c>
    </row>
    <row r="32" spans="1:8" ht="22.5" customHeight="1" x14ac:dyDescent="0.3">
      <c r="E32" s="132" t="s">
        <v>45</v>
      </c>
      <c r="F32" s="132"/>
      <c r="G32" s="132"/>
      <c r="H32" s="5">
        <f>$H$30*9%</f>
        <v>20755.53</v>
      </c>
    </row>
    <row r="33" spans="1:8" ht="22.5" customHeight="1" x14ac:dyDescent="0.35">
      <c r="E33" s="134" t="s">
        <v>46</v>
      </c>
      <c r="F33" s="134"/>
      <c r="G33" s="134"/>
      <c r="H33" s="7">
        <f>SUM(H30:H32)</f>
        <v>272128.06</v>
      </c>
    </row>
    <row r="35" spans="1:8" ht="18.75" customHeight="1" x14ac:dyDescent="0.3">
      <c r="A35" s="155" t="s">
        <v>82</v>
      </c>
      <c r="B35" s="156"/>
      <c r="C35" s="156"/>
      <c r="D35" s="156"/>
      <c r="E35" s="156"/>
      <c r="F35" s="156"/>
      <c r="G35" s="156"/>
      <c r="H35" s="157"/>
    </row>
    <row r="36" spans="1:8" x14ac:dyDescent="0.3">
      <c r="A36" s="26"/>
      <c r="B36" s="26"/>
      <c r="C36" s="26"/>
      <c r="D36" s="26"/>
      <c r="E36" s="26"/>
      <c r="F36" s="26"/>
      <c r="G36" s="26"/>
      <c r="H36" s="26"/>
    </row>
    <row r="37" spans="1:8" ht="17.399999999999999" x14ac:dyDescent="0.35">
      <c r="A37" s="124" t="s">
        <v>83</v>
      </c>
      <c r="B37" s="125"/>
      <c r="C37" s="126"/>
      <c r="D37" s="36"/>
      <c r="E37" s="27"/>
      <c r="F37" s="28"/>
      <c r="G37" s="28"/>
      <c r="H37" s="29" t="s">
        <v>47</v>
      </c>
    </row>
    <row r="38" spans="1:8" ht="15" customHeight="1" x14ac:dyDescent="0.3">
      <c r="A38" s="114" t="s">
        <v>48</v>
      </c>
      <c r="B38" s="115"/>
      <c r="C38" s="25" t="s">
        <v>49</v>
      </c>
      <c r="D38" s="37"/>
      <c r="E38" s="116" t="s">
        <v>50</v>
      </c>
      <c r="F38" s="116"/>
      <c r="G38" s="116"/>
      <c r="H38" s="117"/>
    </row>
    <row r="39" spans="1:8" x14ac:dyDescent="0.3">
      <c r="A39" s="114" t="s">
        <v>51</v>
      </c>
      <c r="B39" s="115"/>
      <c r="C39" s="25">
        <v>82000057539</v>
      </c>
      <c r="D39" s="37"/>
      <c r="E39" s="118"/>
      <c r="F39" s="118"/>
      <c r="G39" s="118"/>
      <c r="H39" s="119"/>
    </row>
    <row r="40" spans="1:8" x14ac:dyDescent="0.3">
      <c r="A40" s="114" t="s">
        <v>52</v>
      </c>
      <c r="B40" s="115"/>
      <c r="C40" s="25" t="s">
        <v>53</v>
      </c>
      <c r="D40" s="37"/>
      <c r="E40" s="26"/>
      <c r="F40" s="26"/>
      <c r="G40" s="26"/>
      <c r="H40" s="30"/>
    </row>
    <row r="41" spans="1:8" x14ac:dyDescent="0.3">
      <c r="A41" s="120" t="s">
        <v>54</v>
      </c>
      <c r="B41" s="121"/>
      <c r="C41" s="31" t="s">
        <v>55</v>
      </c>
      <c r="D41" s="38"/>
      <c r="E41" s="122" t="s">
        <v>56</v>
      </c>
      <c r="F41" s="122"/>
      <c r="G41" s="122"/>
      <c r="H41" s="123"/>
    </row>
    <row r="42" spans="1:8" x14ac:dyDescent="0.3">
      <c r="A42" s="26"/>
      <c r="B42" s="26"/>
      <c r="C42" s="26"/>
      <c r="D42" s="26"/>
      <c r="E42" s="112"/>
      <c r="F42" s="112"/>
      <c r="G42" s="112"/>
      <c r="H42" s="112"/>
    </row>
    <row r="43" spans="1:8" x14ac:dyDescent="0.3">
      <c r="A43" s="113" t="s">
        <v>57</v>
      </c>
      <c r="B43" s="113"/>
      <c r="C43" s="113"/>
      <c r="D43" s="113"/>
      <c r="E43" s="113"/>
      <c r="F43" s="113"/>
      <c r="G43" s="113"/>
      <c r="H43" s="113"/>
    </row>
    <row r="44" spans="1:8" x14ac:dyDescent="0.3">
      <c r="A44" s="113" t="s">
        <v>58</v>
      </c>
      <c r="B44" s="113"/>
      <c r="C44" s="113"/>
      <c r="D44" s="113"/>
      <c r="E44" s="113"/>
      <c r="F44" s="113"/>
      <c r="G44" s="113"/>
      <c r="H44" s="113"/>
    </row>
  </sheetData>
  <mergeCells count="35">
    <mergeCell ref="A2:H2"/>
    <mergeCell ref="A4:H4"/>
    <mergeCell ref="A5:H5"/>
    <mergeCell ref="A6:H6"/>
    <mergeCell ref="A1:H1"/>
    <mergeCell ref="A8:D8"/>
    <mergeCell ref="E8:H8"/>
    <mergeCell ref="E9:F9"/>
    <mergeCell ref="G9:H9"/>
    <mergeCell ref="E10:F10"/>
    <mergeCell ref="G10:H10"/>
    <mergeCell ref="E11:F11"/>
    <mergeCell ref="G11:H11"/>
    <mergeCell ref="E12:F12"/>
    <mergeCell ref="G12:H12"/>
    <mergeCell ref="E14:F14"/>
    <mergeCell ref="G14:H14"/>
    <mergeCell ref="E28:G28"/>
    <mergeCell ref="E29:G29"/>
    <mergeCell ref="E30:G30"/>
    <mergeCell ref="E31:G31"/>
    <mergeCell ref="E32:G32"/>
    <mergeCell ref="E33:G33"/>
    <mergeCell ref="A35:H35"/>
    <mergeCell ref="A38:B38"/>
    <mergeCell ref="E38:H38"/>
    <mergeCell ref="A39:B39"/>
    <mergeCell ref="E39:H39"/>
    <mergeCell ref="A37:C37"/>
    <mergeCell ref="A40:B40"/>
    <mergeCell ref="A41:B41"/>
    <mergeCell ref="E41:H41"/>
    <mergeCell ref="A43:H43"/>
    <mergeCell ref="A44:H44"/>
    <mergeCell ref="E42:H42"/>
  </mergeCells>
  <pageMargins left="0.7" right="0.7" top="0.75" bottom="0.75" header="0.3" footer="0.3"/>
  <pageSetup scale="70" fitToWidth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09AF-A93E-4F3E-8224-AFCD1A041D29}">
  <sheetPr>
    <pageSetUpPr fitToPage="1"/>
  </sheetPr>
  <dimension ref="A1:H42"/>
  <sheetViews>
    <sheetView showGridLines="0" topLeftCell="A26" zoomScale="119" zoomScaleNormal="100" workbookViewId="0">
      <selection activeCell="A33" sqref="A33:H33"/>
    </sheetView>
  </sheetViews>
  <sheetFormatPr defaultColWidth="8.6640625" defaultRowHeight="14.4" x14ac:dyDescent="0.3"/>
  <cols>
    <col min="1" max="1" width="4.6640625" customWidth="1"/>
    <col min="2" max="2" width="11.5546875" customWidth="1"/>
    <col min="3" max="3" width="42.5546875" customWidth="1"/>
    <col min="4" max="4" width="10" customWidth="1"/>
    <col min="5" max="5" width="7.88671875" customWidth="1"/>
    <col min="6" max="6" width="11.44140625" customWidth="1"/>
    <col min="7" max="7" width="10.109375" customWidth="1"/>
    <col min="8" max="8" width="17.109375" customWidth="1"/>
  </cols>
  <sheetData>
    <row r="1" spans="1:8" ht="18.75" customHeight="1" x14ac:dyDescent="0.3">
      <c r="A1" s="143" t="s">
        <v>0</v>
      </c>
      <c r="B1" s="144"/>
      <c r="C1" s="144"/>
      <c r="D1" s="144"/>
      <c r="E1" s="144"/>
      <c r="F1" s="144"/>
      <c r="G1" s="144"/>
      <c r="H1" s="145"/>
    </row>
    <row r="2" spans="1:8" ht="28.05" customHeight="1" x14ac:dyDescent="0.3">
      <c r="A2" s="146" t="s">
        <v>1</v>
      </c>
      <c r="B2" s="147"/>
      <c r="C2" s="147"/>
      <c r="D2" s="147"/>
      <c r="E2" s="147"/>
      <c r="F2" s="147"/>
      <c r="G2" s="147"/>
      <c r="H2" s="14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9</v>
      </c>
      <c r="D9" s="11"/>
      <c r="E9" s="127" t="s">
        <v>10</v>
      </c>
      <c r="F9" s="127"/>
      <c r="G9" s="128" t="s">
        <v>59</v>
      </c>
      <c r="H9" s="129"/>
    </row>
    <row r="10" spans="1:8" ht="21.75" customHeight="1" x14ac:dyDescent="0.3">
      <c r="A10" s="10" t="s">
        <v>12</v>
      </c>
      <c r="B10" s="11"/>
      <c r="C10" s="12" t="s">
        <v>13</v>
      </c>
      <c r="D10" s="11"/>
      <c r="E10" s="127" t="s">
        <v>14</v>
      </c>
      <c r="F10" s="127"/>
      <c r="G10" s="138">
        <v>46161</v>
      </c>
      <c r="H10" s="139"/>
    </row>
    <row r="11" spans="1:8" ht="21.75" customHeight="1" x14ac:dyDescent="0.3">
      <c r="A11" s="10" t="s">
        <v>15</v>
      </c>
      <c r="B11" s="11"/>
      <c r="C11" s="12" t="s">
        <v>16</v>
      </c>
      <c r="D11" s="11"/>
      <c r="E11" s="127" t="s">
        <v>17</v>
      </c>
      <c r="F11" s="127"/>
      <c r="G11" s="128" t="s">
        <v>18</v>
      </c>
      <c r="H11" s="129"/>
    </row>
    <row r="12" spans="1:8" ht="21.75" customHeight="1" x14ac:dyDescent="0.3">
      <c r="A12" s="10" t="s">
        <v>19</v>
      </c>
      <c r="B12" s="11"/>
      <c r="C12" s="12" t="s">
        <v>20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46140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20" t="s">
        <v>79</v>
      </c>
      <c r="B16" s="21"/>
      <c r="C16" s="21"/>
      <c r="D16" s="21"/>
      <c r="E16" s="22" t="s">
        <v>76</v>
      </c>
      <c r="F16" s="23"/>
      <c r="G16" s="22" t="s">
        <v>77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9" customHeight="1" x14ac:dyDescent="0.3">
      <c r="A19" s="1">
        <v>1</v>
      </c>
      <c r="B19" s="32" t="s">
        <v>60</v>
      </c>
      <c r="C19" s="34" t="s">
        <v>61</v>
      </c>
      <c r="D19" s="33">
        <v>721550</v>
      </c>
      <c r="E19" s="2">
        <v>7</v>
      </c>
      <c r="F19" s="3">
        <v>912</v>
      </c>
      <c r="G19" s="3">
        <v>86</v>
      </c>
      <c r="H19" s="3">
        <f t="shared" ref="H19:H24" si="0">F19*G19</f>
        <v>78432</v>
      </c>
    </row>
    <row r="20" spans="1:8" ht="39" customHeight="1" x14ac:dyDescent="0.3">
      <c r="A20" s="1">
        <v>2</v>
      </c>
      <c r="B20" s="32" t="s">
        <v>62</v>
      </c>
      <c r="C20" s="34" t="s">
        <v>63</v>
      </c>
      <c r="D20" s="33">
        <v>721550</v>
      </c>
      <c r="E20" s="2">
        <v>21</v>
      </c>
      <c r="F20" s="3">
        <v>2170</v>
      </c>
      <c r="G20" s="3">
        <v>85</v>
      </c>
      <c r="H20" s="3">
        <f t="shared" si="0"/>
        <v>184450</v>
      </c>
    </row>
    <row r="21" spans="1:8" ht="39" customHeight="1" x14ac:dyDescent="0.3">
      <c r="A21" s="1">
        <v>3</v>
      </c>
      <c r="B21" s="32" t="s">
        <v>64</v>
      </c>
      <c r="C21" s="34" t="s">
        <v>65</v>
      </c>
      <c r="D21" s="33">
        <v>721550</v>
      </c>
      <c r="E21" s="2">
        <v>23</v>
      </c>
      <c r="F21" s="3">
        <v>1089</v>
      </c>
      <c r="G21" s="3">
        <v>85</v>
      </c>
      <c r="H21" s="3">
        <f t="shared" si="0"/>
        <v>92565</v>
      </c>
    </row>
    <row r="22" spans="1:8" ht="39" customHeight="1" x14ac:dyDescent="0.3">
      <c r="A22" s="1">
        <v>4</v>
      </c>
      <c r="B22" s="32" t="s">
        <v>66</v>
      </c>
      <c r="C22" s="34" t="s">
        <v>67</v>
      </c>
      <c r="D22" s="33">
        <v>72283022</v>
      </c>
      <c r="E22" s="2">
        <v>1</v>
      </c>
      <c r="F22" s="3">
        <v>36</v>
      </c>
      <c r="G22" s="3">
        <v>310</v>
      </c>
      <c r="H22" s="3">
        <f t="shared" si="0"/>
        <v>11160</v>
      </c>
    </row>
    <row r="23" spans="1:8" ht="39" customHeight="1" x14ac:dyDescent="0.3">
      <c r="A23" s="1">
        <v>5</v>
      </c>
      <c r="B23" s="32" t="s">
        <v>68</v>
      </c>
      <c r="C23" s="34" t="s">
        <v>69</v>
      </c>
      <c r="D23" s="33">
        <v>72283022</v>
      </c>
      <c r="E23" s="2">
        <v>1</v>
      </c>
      <c r="F23" s="3">
        <v>49</v>
      </c>
      <c r="G23" s="3">
        <v>310</v>
      </c>
      <c r="H23" s="3">
        <f t="shared" si="0"/>
        <v>15190</v>
      </c>
    </row>
    <row r="24" spans="1:8" ht="39" customHeight="1" x14ac:dyDescent="0.3">
      <c r="A24" s="1">
        <v>6</v>
      </c>
      <c r="B24" s="32" t="s">
        <v>70</v>
      </c>
      <c r="C24" s="34" t="s">
        <v>71</v>
      </c>
      <c r="D24" s="33">
        <v>72283022</v>
      </c>
      <c r="E24" s="2">
        <v>1</v>
      </c>
      <c r="F24" s="3">
        <v>59</v>
      </c>
      <c r="G24" s="3">
        <v>310</v>
      </c>
      <c r="H24" s="3">
        <f t="shared" si="0"/>
        <v>18290</v>
      </c>
    </row>
    <row r="26" spans="1:8" ht="22.5" customHeight="1" x14ac:dyDescent="0.3">
      <c r="E26" s="132" t="s">
        <v>41</v>
      </c>
      <c r="F26" s="132"/>
      <c r="G26" s="132"/>
      <c r="H26" s="5">
        <f>SUM(H19:H24)</f>
        <v>400087</v>
      </c>
    </row>
    <row r="27" spans="1:8" ht="22.5" customHeight="1" x14ac:dyDescent="0.3">
      <c r="E27" s="132" t="s">
        <v>42</v>
      </c>
      <c r="F27" s="132"/>
      <c r="G27" s="132"/>
      <c r="H27" s="5">
        <v>15000</v>
      </c>
    </row>
    <row r="28" spans="1:8" ht="22.5" customHeight="1" x14ac:dyDescent="0.3">
      <c r="E28" s="133" t="s">
        <v>43</v>
      </c>
      <c r="F28" s="133"/>
      <c r="G28" s="133"/>
      <c r="H28" s="6">
        <f>SUM(H26:H27)</f>
        <v>415087</v>
      </c>
    </row>
    <row r="29" spans="1:8" ht="22.5" customHeight="1" x14ac:dyDescent="0.3">
      <c r="E29" s="132" t="s">
        <v>44</v>
      </c>
      <c r="F29" s="132"/>
      <c r="G29" s="132"/>
      <c r="H29" s="5">
        <f>$H$28*9%</f>
        <v>37357.83</v>
      </c>
    </row>
    <row r="30" spans="1:8" ht="22.5" customHeight="1" x14ac:dyDescent="0.3">
      <c r="E30" s="132" t="s">
        <v>45</v>
      </c>
      <c r="F30" s="132"/>
      <c r="G30" s="132"/>
      <c r="H30" s="5">
        <f>$H$28*9%</f>
        <v>37357.83</v>
      </c>
    </row>
    <row r="31" spans="1:8" ht="22.5" customHeight="1" x14ac:dyDescent="0.35">
      <c r="E31" s="134" t="s">
        <v>46</v>
      </c>
      <c r="F31" s="134"/>
      <c r="G31" s="134"/>
      <c r="H31" s="7">
        <f>SUM(H28:H30)</f>
        <v>489802.66000000003</v>
      </c>
    </row>
    <row r="33" spans="1:8" ht="18.75" customHeight="1" x14ac:dyDescent="0.3">
      <c r="A33" s="135" t="s">
        <v>78</v>
      </c>
      <c r="B33" s="136"/>
      <c r="C33" s="136"/>
      <c r="D33" s="136"/>
      <c r="E33" s="136"/>
      <c r="F33" s="136"/>
      <c r="G33" s="136"/>
      <c r="H33" s="137"/>
    </row>
    <row r="34" spans="1:8" x14ac:dyDescent="0.3">
      <c r="A34" s="26"/>
      <c r="B34" s="26"/>
      <c r="C34" s="26"/>
      <c r="D34" s="26"/>
      <c r="E34" s="26"/>
      <c r="F34" s="26"/>
      <c r="G34" s="26"/>
      <c r="H34" s="26"/>
    </row>
    <row r="35" spans="1:8" ht="17.399999999999999" x14ac:dyDescent="0.35">
      <c r="A35" s="124" t="s">
        <v>83</v>
      </c>
      <c r="B35" s="125"/>
      <c r="C35" s="126"/>
      <c r="D35" s="36"/>
      <c r="E35" s="28"/>
      <c r="F35" s="28"/>
      <c r="G35" s="28"/>
      <c r="H35" s="29" t="s">
        <v>47</v>
      </c>
    </row>
    <row r="36" spans="1:8" ht="15" customHeight="1" x14ac:dyDescent="0.3">
      <c r="A36" s="114" t="s">
        <v>48</v>
      </c>
      <c r="B36" s="115"/>
      <c r="C36" s="25" t="s">
        <v>49</v>
      </c>
      <c r="D36" s="37"/>
      <c r="E36" s="116" t="s">
        <v>50</v>
      </c>
      <c r="F36" s="116"/>
      <c r="G36" s="116"/>
      <c r="H36" s="117"/>
    </row>
    <row r="37" spans="1:8" x14ac:dyDescent="0.3">
      <c r="A37" s="114" t="s">
        <v>51</v>
      </c>
      <c r="B37" s="115"/>
      <c r="C37" s="25">
        <v>82000057539</v>
      </c>
      <c r="D37" s="37"/>
      <c r="E37" s="118"/>
      <c r="F37" s="118"/>
      <c r="G37" s="118"/>
      <c r="H37" s="119"/>
    </row>
    <row r="38" spans="1:8" x14ac:dyDescent="0.3">
      <c r="A38" s="114" t="s">
        <v>52</v>
      </c>
      <c r="B38" s="115"/>
      <c r="C38" s="25" t="s">
        <v>53</v>
      </c>
      <c r="D38" s="37"/>
      <c r="E38" s="26"/>
      <c r="F38" s="26"/>
      <c r="G38" s="26"/>
      <c r="H38" s="30"/>
    </row>
    <row r="39" spans="1:8" x14ac:dyDescent="0.3">
      <c r="A39" s="120" t="s">
        <v>54</v>
      </c>
      <c r="B39" s="121"/>
      <c r="C39" s="31" t="s">
        <v>55</v>
      </c>
      <c r="D39" s="38"/>
      <c r="E39" s="122" t="s">
        <v>56</v>
      </c>
      <c r="F39" s="122"/>
      <c r="G39" s="122"/>
      <c r="H39" s="123"/>
    </row>
    <row r="40" spans="1:8" x14ac:dyDescent="0.3">
      <c r="A40" s="26"/>
      <c r="B40" s="26"/>
      <c r="C40" s="26"/>
      <c r="D40" s="26"/>
      <c r="E40" s="112"/>
      <c r="F40" s="112"/>
      <c r="G40" s="112"/>
      <c r="H40" s="112"/>
    </row>
    <row r="41" spans="1:8" x14ac:dyDescent="0.3">
      <c r="A41" s="113" t="s">
        <v>57</v>
      </c>
      <c r="B41" s="113"/>
      <c r="C41" s="113"/>
      <c r="D41" s="113"/>
      <c r="E41" s="113"/>
      <c r="F41" s="113"/>
      <c r="G41" s="113"/>
      <c r="H41" s="113"/>
    </row>
    <row r="42" spans="1:8" x14ac:dyDescent="0.3">
      <c r="A42" s="113" t="s">
        <v>58</v>
      </c>
      <c r="B42" s="113"/>
      <c r="C42" s="113"/>
      <c r="D42" s="113"/>
      <c r="E42" s="113"/>
      <c r="F42" s="113"/>
      <c r="G42" s="113"/>
      <c r="H42" s="113"/>
    </row>
  </sheetData>
  <mergeCells count="35">
    <mergeCell ref="A2:H2"/>
    <mergeCell ref="A4:H4"/>
    <mergeCell ref="A5:H5"/>
    <mergeCell ref="A6:H6"/>
    <mergeCell ref="A8:D8"/>
    <mergeCell ref="E8:H8"/>
    <mergeCell ref="E9:F9"/>
    <mergeCell ref="G9:H9"/>
    <mergeCell ref="E10:F10"/>
    <mergeCell ref="G10:H10"/>
    <mergeCell ref="E11:F11"/>
    <mergeCell ref="G11:H11"/>
    <mergeCell ref="E36:H36"/>
    <mergeCell ref="E12:F12"/>
    <mergeCell ref="G12:H12"/>
    <mergeCell ref="E14:F14"/>
    <mergeCell ref="G14:H14"/>
    <mergeCell ref="E26:G26"/>
    <mergeCell ref="E27:G27"/>
    <mergeCell ref="A41:H41"/>
    <mergeCell ref="A42:H42"/>
    <mergeCell ref="A1:H1"/>
    <mergeCell ref="A35:C35"/>
    <mergeCell ref="A37:B37"/>
    <mergeCell ref="E37:H37"/>
    <mergeCell ref="A38:B38"/>
    <mergeCell ref="A39:B39"/>
    <mergeCell ref="E39:H39"/>
    <mergeCell ref="E40:H40"/>
    <mergeCell ref="E28:G28"/>
    <mergeCell ref="E29:G29"/>
    <mergeCell ref="E30:G30"/>
    <mergeCell ref="E31:G31"/>
    <mergeCell ref="A33:H33"/>
    <mergeCell ref="A36:B36"/>
  </mergeCells>
  <pageMargins left="0.7" right="0.7" top="0.75" bottom="0.75" header="0.3" footer="0.3"/>
  <pageSetup scale="72" fitToWidth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8EDB-30F9-46AE-B0C9-553AFAEAC472}">
  <sheetPr>
    <pageSetUpPr fitToPage="1"/>
  </sheetPr>
  <dimension ref="A1:H43"/>
  <sheetViews>
    <sheetView showGridLines="0" zoomScale="96" workbookViewId="0">
      <selection activeCell="A17" sqref="A17"/>
    </sheetView>
  </sheetViews>
  <sheetFormatPr defaultRowHeight="14.4" x14ac:dyDescent="0.3"/>
  <cols>
    <col min="1" max="1" width="7.6640625" style="26" customWidth="1"/>
    <col min="2" max="2" width="15" style="26" customWidth="1"/>
    <col min="3" max="3" width="40" style="26" customWidth="1"/>
    <col min="4" max="6" width="12" style="26" customWidth="1"/>
    <col min="7" max="7" width="15" style="26" customWidth="1"/>
    <col min="8" max="8" width="18" style="26" customWidth="1"/>
    <col min="9" max="16384" width="8.88671875" style="26"/>
  </cols>
  <sheetData>
    <row r="1" spans="1:8" ht="19.05" customHeight="1" x14ac:dyDescent="0.3">
      <c r="A1" s="162" t="s">
        <v>0</v>
      </c>
      <c r="B1" s="163"/>
      <c r="C1" s="163"/>
      <c r="D1" s="163"/>
      <c r="E1" s="163"/>
      <c r="F1" s="163"/>
      <c r="G1" s="163"/>
      <c r="H1" s="164"/>
    </row>
    <row r="2" spans="1:8" ht="19.05" customHeight="1" x14ac:dyDescent="0.3">
      <c r="A2" s="165"/>
      <c r="B2" s="166"/>
      <c r="C2" s="166"/>
      <c r="D2" s="166"/>
      <c r="E2" s="166"/>
      <c r="F2" s="166"/>
      <c r="G2" s="166"/>
      <c r="H2" s="167"/>
    </row>
    <row r="3" spans="1:8" ht="19.05" customHeight="1" x14ac:dyDescent="0.3">
      <c r="A3" s="168" t="s">
        <v>1</v>
      </c>
      <c r="B3" s="169"/>
      <c r="C3" s="169"/>
      <c r="D3" s="169"/>
      <c r="E3" s="169"/>
      <c r="F3" s="169"/>
      <c r="G3" s="169"/>
      <c r="H3" s="170"/>
    </row>
    <row r="4" spans="1:8" ht="19.05" customHeight="1" x14ac:dyDescent="0.3">
      <c r="A4" s="41"/>
      <c r="H4" s="42" t="s">
        <v>2</v>
      </c>
    </row>
    <row r="5" spans="1:8" ht="19.05" customHeight="1" x14ac:dyDescent="0.3">
      <c r="A5" s="171" t="s">
        <v>3</v>
      </c>
      <c r="B5" s="172"/>
      <c r="C5" s="172"/>
      <c r="D5" s="172"/>
      <c r="E5" s="172"/>
      <c r="F5" s="172"/>
      <c r="G5" s="172"/>
      <c r="H5" s="173"/>
    </row>
    <row r="6" spans="1:8" ht="19.05" customHeight="1" x14ac:dyDescent="0.3">
      <c r="A6" s="171" t="s">
        <v>4</v>
      </c>
      <c r="B6" s="172"/>
      <c r="C6" s="172"/>
      <c r="D6" s="172"/>
      <c r="E6" s="172"/>
      <c r="F6" s="172"/>
      <c r="G6" s="172"/>
      <c r="H6" s="173"/>
    </row>
    <row r="7" spans="1:8" ht="19.05" customHeight="1" x14ac:dyDescent="0.3">
      <c r="A7" s="174" t="s">
        <v>84</v>
      </c>
      <c r="B7" s="175"/>
      <c r="C7" s="175"/>
      <c r="D7" s="175"/>
      <c r="E7" s="175"/>
      <c r="F7" s="175"/>
      <c r="G7" s="175"/>
      <c r="H7" s="176"/>
    </row>
    <row r="8" spans="1:8" ht="19.05" customHeight="1" x14ac:dyDescent="0.3"/>
    <row r="9" spans="1:8" ht="22.05" customHeight="1" x14ac:dyDescent="0.3">
      <c r="A9" s="158" t="s">
        <v>6</v>
      </c>
      <c r="B9" s="159"/>
      <c r="C9" s="159"/>
      <c r="D9" s="159"/>
      <c r="E9" s="160" t="s">
        <v>7</v>
      </c>
      <c r="F9" s="159"/>
      <c r="G9" s="159"/>
      <c r="H9" s="161"/>
    </row>
    <row r="10" spans="1:8" ht="22.05" customHeight="1" x14ac:dyDescent="0.3">
      <c r="A10" s="43" t="s">
        <v>8</v>
      </c>
      <c r="B10" s="44"/>
      <c r="C10" s="44" t="s">
        <v>85</v>
      </c>
      <c r="D10" s="44"/>
      <c r="E10" s="177" t="s">
        <v>10</v>
      </c>
      <c r="F10" s="177"/>
      <c r="G10" s="178" t="s">
        <v>86</v>
      </c>
      <c r="H10" s="179"/>
    </row>
    <row r="11" spans="1:8" ht="22.05" customHeight="1" x14ac:dyDescent="0.3">
      <c r="A11" s="43" t="s">
        <v>12</v>
      </c>
      <c r="B11" s="44"/>
      <c r="C11" s="44" t="s">
        <v>87</v>
      </c>
      <c r="D11" s="44"/>
      <c r="E11" s="177" t="s">
        <v>14</v>
      </c>
      <c r="F11" s="177"/>
      <c r="G11" s="180">
        <v>46148</v>
      </c>
      <c r="H11" s="181"/>
    </row>
    <row r="12" spans="1:8" ht="22.05" customHeight="1" x14ac:dyDescent="0.3">
      <c r="A12" s="43" t="s">
        <v>15</v>
      </c>
      <c r="B12" s="44"/>
      <c r="C12" s="44" t="s">
        <v>88</v>
      </c>
      <c r="D12" s="44"/>
      <c r="E12" s="177" t="s">
        <v>17</v>
      </c>
      <c r="F12" s="177"/>
      <c r="G12" s="178" t="s">
        <v>89</v>
      </c>
      <c r="H12" s="179"/>
    </row>
    <row r="13" spans="1:8" ht="22.05" customHeight="1" x14ac:dyDescent="0.3">
      <c r="A13" s="43" t="s">
        <v>19</v>
      </c>
      <c r="B13" s="44"/>
      <c r="C13" s="44" t="s">
        <v>90</v>
      </c>
      <c r="D13" s="44"/>
      <c r="E13" s="177" t="s">
        <v>21</v>
      </c>
      <c r="F13" s="177"/>
      <c r="G13" s="178" t="s">
        <v>22</v>
      </c>
      <c r="H13" s="179"/>
    </row>
    <row r="14" spans="1:8" ht="22.05" customHeight="1" x14ac:dyDescent="0.3">
      <c r="A14" s="43" t="s">
        <v>23</v>
      </c>
      <c r="B14" s="44"/>
      <c r="C14" s="45">
        <v>46128</v>
      </c>
      <c r="D14" s="44"/>
      <c r="E14" s="177"/>
      <c r="F14" s="177"/>
      <c r="G14" s="177"/>
      <c r="H14" s="182"/>
    </row>
    <row r="15" spans="1:8" ht="22.05" customHeight="1" x14ac:dyDescent="0.3">
      <c r="A15" s="46" t="s">
        <v>24</v>
      </c>
      <c r="B15" s="47" t="s">
        <v>25</v>
      </c>
      <c r="C15" s="48" t="s">
        <v>91</v>
      </c>
      <c r="D15" s="49"/>
      <c r="E15" s="183"/>
      <c r="F15" s="183"/>
      <c r="G15" s="183"/>
      <c r="H15" s="184"/>
    </row>
    <row r="16" spans="1:8" ht="19.05" customHeight="1" x14ac:dyDescent="0.3"/>
    <row r="17" spans="1:8" ht="19.05" customHeight="1" x14ac:dyDescent="0.3">
      <c r="A17" s="50" t="s">
        <v>92</v>
      </c>
      <c r="B17" s="51"/>
      <c r="C17" s="51"/>
      <c r="D17" s="51"/>
      <c r="E17" s="52" t="s">
        <v>93</v>
      </c>
      <c r="F17" s="53" t="s">
        <v>94</v>
      </c>
      <c r="G17" s="52" t="s">
        <v>95</v>
      </c>
      <c r="H17" s="54" t="s">
        <v>96</v>
      </c>
    </row>
    <row r="18" spans="1:8" ht="19.05" customHeight="1" x14ac:dyDescent="0.3"/>
    <row r="19" spans="1:8" ht="19.05" customHeight="1" x14ac:dyDescent="0.3">
      <c r="A19" s="55" t="s">
        <v>27</v>
      </c>
      <c r="B19" s="55" t="s">
        <v>28</v>
      </c>
      <c r="C19" s="55" t="s">
        <v>29</v>
      </c>
      <c r="D19" s="55" t="s">
        <v>30</v>
      </c>
      <c r="E19" s="55" t="s">
        <v>31</v>
      </c>
      <c r="F19" s="55" t="s">
        <v>32</v>
      </c>
      <c r="G19" s="55" t="s">
        <v>33</v>
      </c>
      <c r="H19" s="55" t="s">
        <v>34</v>
      </c>
    </row>
    <row r="20" spans="1:8" ht="28.05" customHeight="1" x14ac:dyDescent="0.3">
      <c r="A20" s="56">
        <v>1</v>
      </c>
      <c r="B20" s="57">
        <v>12090119</v>
      </c>
      <c r="C20" s="58" t="s">
        <v>97</v>
      </c>
      <c r="D20" s="56">
        <v>72162100</v>
      </c>
      <c r="E20" s="56"/>
      <c r="F20" s="59">
        <v>251</v>
      </c>
      <c r="G20" s="59">
        <v>56</v>
      </c>
      <c r="H20" s="59">
        <f>F20*G20</f>
        <v>14056</v>
      </c>
    </row>
    <row r="21" spans="1:8" ht="28.05" customHeight="1" x14ac:dyDescent="0.3">
      <c r="A21" s="60"/>
      <c r="B21" s="60"/>
      <c r="C21" s="60"/>
      <c r="D21" s="60"/>
      <c r="E21" s="60"/>
      <c r="F21" s="60"/>
      <c r="G21" s="60"/>
      <c r="H21" s="60"/>
    </row>
    <row r="22" spans="1:8" ht="28.05" customHeight="1" x14ac:dyDescent="0.3">
      <c r="A22" s="60"/>
      <c r="B22" s="60"/>
      <c r="C22" s="60"/>
      <c r="D22" s="60"/>
      <c r="E22" s="60"/>
      <c r="F22" s="60"/>
      <c r="G22" s="60"/>
      <c r="H22" s="60"/>
    </row>
    <row r="23" spans="1:8" ht="28.05" customHeight="1" x14ac:dyDescent="0.3">
      <c r="A23" s="60"/>
      <c r="B23" s="60"/>
      <c r="C23" s="60"/>
      <c r="D23" s="60"/>
      <c r="E23" s="60"/>
      <c r="F23" s="60"/>
      <c r="G23" s="60"/>
      <c r="H23" s="60"/>
    </row>
    <row r="24" spans="1:8" ht="28.05" customHeight="1" x14ac:dyDescent="0.3">
      <c r="A24" s="60"/>
      <c r="B24" s="60"/>
      <c r="C24" s="60"/>
      <c r="D24" s="60"/>
      <c r="E24" s="60"/>
      <c r="F24" s="60"/>
      <c r="G24" s="60"/>
      <c r="H24" s="60"/>
    </row>
    <row r="25" spans="1:8" ht="28.05" customHeight="1" x14ac:dyDescent="0.3">
      <c r="A25" s="60"/>
      <c r="B25" s="60"/>
      <c r="C25" s="60"/>
      <c r="D25" s="60"/>
      <c r="E25" s="60"/>
      <c r="F25" s="60"/>
      <c r="G25" s="60"/>
      <c r="H25" s="60"/>
    </row>
    <row r="26" spans="1:8" ht="19.05" customHeight="1" x14ac:dyDescent="0.3"/>
    <row r="27" spans="1:8" ht="22.95" customHeight="1" x14ac:dyDescent="0.3">
      <c r="E27" s="185" t="s">
        <v>41</v>
      </c>
      <c r="F27" s="186"/>
      <c r="G27" s="186"/>
      <c r="H27" s="61">
        <f>SUM(H20:H25)</f>
        <v>14056</v>
      </c>
    </row>
    <row r="28" spans="1:8" ht="22.95" customHeight="1" x14ac:dyDescent="0.3">
      <c r="E28" s="185" t="s">
        <v>42</v>
      </c>
      <c r="F28" s="186"/>
      <c r="G28" s="186"/>
      <c r="H28" s="61">
        <v>7800</v>
      </c>
    </row>
    <row r="29" spans="1:8" ht="22.95" customHeight="1" x14ac:dyDescent="0.3">
      <c r="E29" s="187" t="s">
        <v>43</v>
      </c>
      <c r="F29" s="188"/>
      <c r="G29" s="188"/>
      <c r="H29" s="62">
        <f>SUM(H27:H28)</f>
        <v>21856</v>
      </c>
    </row>
    <row r="30" spans="1:8" ht="22.95" customHeight="1" x14ac:dyDescent="0.3">
      <c r="E30" s="185" t="s">
        <v>44</v>
      </c>
      <c r="F30" s="186"/>
      <c r="G30" s="186"/>
      <c r="H30" s="61">
        <f>$H$29*9%</f>
        <v>1967.04</v>
      </c>
    </row>
    <row r="31" spans="1:8" ht="22.95" customHeight="1" x14ac:dyDescent="0.3">
      <c r="E31" s="185" t="s">
        <v>45</v>
      </c>
      <c r="F31" s="186"/>
      <c r="G31" s="186"/>
      <c r="H31" s="61">
        <f>$H$29*9%</f>
        <v>1967.04</v>
      </c>
    </row>
    <row r="32" spans="1:8" ht="22.95" customHeight="1" x14ac:dyDescent="0.35">
      <c r="E32" s="189" t="s">
        <v>46</v>
      </c>
      <c r="F32" s="190"/>
      <c r="G32" s="191"/>
      <c r="H32" s="63">
        <f>SUM(H29:H31)</f>
        <v>25790.080000000002</v>
      </c>
    </row>
    <row r="33" spans="1:8" ht="19.05" customHeight="1" x14ac:dyDescent="0.3">
      <c r="E33" s="64"/>
      <c r="F33" s="65"/>
      <c r="G33" s="65"/>
      <c r="H33" s="66"/>
    </row>
    <row r="34" spans="1:8" ht="19.05" customHeight="1" x14ac:dyDescent="0.35">
      <c r="A34" s="192" t="s">
        <v>98</v>
      </c>
      <c r="B34" s="193"/>
      <c r="C34" s="193"/>
      <c r="D34" s="193"/>
      <c r="E34" s="193"/>
      <c r="F34" s="193"/>
      <c r="G34" s="193"/>
      <c r="H34" s="194"/>
    </row>
    <row r="35" spans="1:8" ht="19.05" customHeight="1" x14ac:dyDescent="0.3"/>
    <row r="36" spans="1:8" ht="19.05" customHeight="1" x14ac:dyDescent="0.3">
      <c r="A36" s="67" t="s">
        <v>99</v>
      </c>
      <c r="B36" s="68"/>
      <c r="C36" s="68"/>
      <c r="D36" s="68"/>
      <c r="E36" s="27"/>
      <c r="F36" s="28"/>
      <c r="G36" s="28"/>
      <c r="H36" s="29" t="s">
        <v>47</v>
      </c>
    </row>
    <row r="37" spans="1:8" ht="19.05" customHeight="1" x14ac:dyDescent="0.3">
      <c r="A37" s="114" t="s">
        <v>48</v>
      </c>
      <c r="B37" s="115"/>
      <c r="C37" s="25" t="s">
        <v>49</v>
      </c>
      <c r="E37" s="195" t="s">
        <v>50</v>
      </c>
      <c r="F37" s="116"/>
      <c r="G37" s="116"/>
      <c r="H37" s="117"/>
    </row>
    <row r="38" spans="1:8" ht="19.05" customHeight="1" x14ac:dyDescent="0.3">
      <c r="A38" s="114" t="s">
        <v>51</v>
      </c>
      <c r="B38" s="115"/>
      <c r="C38" s="25">
        <v>82000057539</v>
      </c>
      <c r="E38" s="196"/>
      <c r="F38" s="118"/>
      <c r="G38" s="118"/>
      <c r="H38" s="119"/>
    </row>
    <row r="39" spans="1:8" ht="19.05" customHeight="1" x14ac:dyDescent="0.3">
      <c r="A39" s="114" t="s">
        <v>52</v>
      </c>
      <c r="B39" s="115"/>
      <c r="C39" s="25" t="s">
        <v>53</v>
      </c>
      <c r="E39" s="69"/>
      <c r="H39" s="30"/>
    </row>
    <row r="40" spans="1:8" ht="19.05" customHeight="1" x14ac:dyDescent="0.3">
      <c r="A40" s="120" t="s">
        <v>54</v>
      </c>
      <c r="B40" s="121"/>
      <c r="C40" s="31" t="s">
        <v>55</v>
      </c>
      <c r="D40" s="70"/>
      <c r="E40" s="197" t="s">
        <v>56</v>
      </c>
      <c r="F40" s="122"/>
      <c r="G40" s="122"/>
      <c r="H40" s="123"/>
    </row>
    <row r="41" spans="1:8" ht="19.05" customHeight="1" x14ac:dyDescent="0.3">
      <c r="E41" s="116"/>
      <c r="F41" s="169"/>
      <c r="G41" s="169"/>
      <c r="H41" s="169"/>
    </row>
    <row r="42" spans="1:8" ht="19.05" customHeight="1" x14ac:dyDescent="0.3">
      <c r="A42" s="113" t="s">
        <v>57</v>
      </c>
      <c r="B42" s="113"/>
      <c r="C42" s="113"/>
      <c r="D42" s="113"/>
      <c r="E42" s="113"/>
      <c r="F42" s="113"/>
      <c r="G42" s="113"/>
      <c r="H42" s="113"/>
    </row>
    <row r="43" spans="1:8" ht="19.05" customHeight="1" x14ac:dyDescent="0.3">
      <c r="A43" s="113" t="s">
        <v>58</v>
      </c>
      <c r="B43" s="113"/>
      <c r="C43" s="113"/>
      <c r="D43" s="113"/>
      <c r="E43" s="113"/>
      <c r="F43" s="113"/>
      <c r="G43" s="113"/>
      <c r="H43" s="113"/>
    </row>
  </sheetData>
  <mergeCells count="36">
    <mergeCell ref="A40:B40"/>
    <mergeCell ref="E40:H40"/>
    <mergeCell ref="E41:H41"/>
    <mergeCell ref="A42:H42"/>
    <mergeCell ref="A43:H43"/>
    <mergeCell ref="A39:B39"/>
    <mergeCell ref="E27:G27"/>
    <mergeCell ref="E28:G28"/>
    <mergeCell ref="E29:G29"/>
    <mergeCell ref="E30:G30"/>
    <mergeCell ref="E31:G31"/>
    <mergeCell ref="E32:G32"/>
    <mergeCell ref="A34:H34"/>
    <mergeCell ref="A37:B37"/>
    <mergeCell ref="E37:H37"/>
    <mergeCell ref="A38:B38"/>
    <mergeCell ref="E38:H38"/>
    <mergeCell ref="E13:F13"/>
    <mergeCell ref="G13:H13"/>
    <mergeCell ref="E14:F14"/>
    <mergeCell ref="G14:H14"/>
    <mergeCell ref="E15:F15"/>
    <mergeCell ref="G15:H15"/>
    <mergeCell ref="E10:F10"/>
    <mergeCell ref="G10:H10"/>
    <mergeCell ref="E11:F11"/>
    <mergeCell ref="G11:H11"/>
    <mergeCell ref="E12:F12"/>
    <mergeCell ref="G12:H12"/>
    <mergeCell ref="A9:D9"/>
    <mergeCell ref="E9:H9"/>
    <mergeCell ref="A1:H2"/>
    <mergeCell ref="A3:H3"/>
    <mergeCell ref="A5:H5"/>
    <mergeCell ref="A6:H6"/>
    <mergeCell ref="A7:H7"/>
  </mergeCells>
  <pageMargins left="0.75" right="0.75" top="1" bottom="1" header="0.5" footer="0.5"/>
  <pageSetup scale="6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3CCF-3547-4578-96D2-A6768F196633}">
  <sheetPr>
    <pageSetUpPr fitToPage="1"/>
  </sheetPr>
  <dimension ref="A1:H43"/>
  <sheetViews>
    <sheetView showGridLines="0" topLeftCell="A32" zoomScale="96" zoomScaleNormal="100" workbookViewId="0">
      <selection activeCell="C38" sqref="C38"/>
    </sheetView>
  </sheetViews>
  <sheetFormatPr defaultColWidth="8.6640625" defaultRowHeight="14.4" x14ac:dyDescent="0.3"/>
  <cols>
    <col min="1" max="1" width="6.33203125" customWidth="1"/>
    <col min="2" max="2" width="13.88671875" customWidth="1"/>
    <col min="3" max="3" width="42.5546875" customWidth="1"/>
    <col min="4" max="4" width="8.6640625" customWidth="1"/>
    <col min="5" max="5" width="9.77734375" customWidth="1"/>
    <col min="6" max="6" width="10" bestFit="1" customWidth="1"/>
    <col min="7" max="7" width="10.109375" customWidth="1"/>
    <col min="8" max="8" width="18" customWidth="1"/>
  </cols>
  <sheetData>
    <row r="1" spans="1:8" ht="18.75" customHeight="1" x14ac:dyDescent="0.3">
      <c r="A1" s="143" t="s">
        <v>0</v>
      </c>
      <c r="B1" s="144"/>
      <c r="C1" s="144"/>
      <c r="D1" s="144"/>
      <c r="E1" s="144"/>
      <c r="F1" s="144"/>
      <c r="G1" s="144"/>
      <c r="H1" s="145"/>
    </row>
    <row r="2" spans="1:8" ht="18.75" customHeight="1" x14ac:dyDescent="0.3">
      <c r="A2" s="146" t="s">
        <v>1</v>
      </c>
      <c r="B2" s="147"/>
      <c r="C2" s="147"/>
      <c r="D2" s="147"/>
      <c r="E2" s="147"/>
      <c r="F2" s="147"/>
      <c r="G2" s="147"/>
      <c r="H2" s="14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85</v>
      </c>
      <c r="D9" s="11"/>
      <c r="E9" s="127" t="s">
        <v>10</v>
      </c>
      <c r="F9" s="127"/>
      <c r="G9" s="128" t="s">
        <v>100</v>
      </c>
      <c r="H9" s="129"/>
    </row>
    <row r="10" spans="1:8" ht="21.75" customHeight="1" x14ac:dyDescent="0.3">
      <c r="A10" s="10" t="s">
        <v>12</v>
      </c>
      <c r="B10" s="11"/>
      <c r="C10" s="12" t="s">
        <v>87</v>
      </c>
      <c r="D10" s="11"/>
      <c r="E10" s="127" t="s">
        <v>14</v>
      </c>
      <c r="F10" s="127"/>
      <c r="G10" s="138">
        <v>46175</v>
      </c>
      <c r="H10" s="139"/>
    </row>
    <row r="11" spans="1:8" ht="21.75" customHeight="1" x14ac:dyDescent="0.3">
      <c r="A11" s="10" t="s">
        <v>15</v>
      </c>
      <c r="B11" s="11"/>
      <c r="C11" s="12" t="s">
        <v>88</v>
      </c>
      <c r="D11" s="11"/>
      <c r="E11" s="127" t="s">
        <v>17</v>
      </c>
      <c r="F11" s="127"/>
      <c r="G11" s="128" t="s">
        <v>89</v>
      </c>
      <c r="H11" s="129"/>
    </row>
    <row r="12" spans="1:8" ht="21.75" customHeight="1" x14ac:dyDescent="0.3">
      <c r="A12" s="10" t="s">
        <v>19</v>
      </c>
      <c r="B12" s="11"/>
      <c r="C12" s="12" t="s">
        <v>101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46169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50" t="s">
        <v>92</v>
      </c>
      <c r="B16" s="21"/>
      <c r="C16" s="21"/>
      <c r="D16" s="21"/>
      <c r="E16" s="22" t="s">
        <v>76</v>
      </c>
      <c r="F16" s="23"/>
      <c r="G16" s="40" t="s">
        <v>110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4.950000000000003" customHeight="1" x14ac:dyDescent="0.3">
      <c r="A19" s="1">
        <v>1</v>
      </c>
      <c r="B19" s="71">
        <v>12050040</v>
      </c>
      <c r="C19" s="1" t="s">
        <v>104</v>
      </c>
      <c r="D19" s="33">
        <v>72123010</v>
      </c>
      <c r="E19" s="2"/>
      <c r="F19" s="3">
        <v>184.6</v>
      </c>
      <c r="G19" s="3">
        <v>77</v>
      </c>
      <c r="H19" s="3">
        <f>F19*G19</f>
        <v>14214.199999999999</v>
      </c>
    </row>
    <row r="20" spans="1:8" ht="34.950000000000003" customHeight="1" x14ac:dyDescent="0.3">
      <c r="A20" s="1">
        <v>2</v>
      </c>
      <c r="B20" s="71">
        <v>12050039</v>
      </c>
      <c r="C20" s="1" t="s">
        <v>105</v>
      </c>
      <c r="D20" s="33">
        <v>72123010</v>
      </c>
      <c r="E20" s="2"/>
      <c r="F20" s="3">
        <v>158.5</v>
      </c>
      <c r="G20" s="3">
        <v>77</v>
      </c>
      <c r="H20" s="3">
        <f>F20*G20</f>
        <v>12204.5</v>
      </c>
    </row>
    <row r="21" spans="1:8" ht="34.950000000000003" customHeight="1" x14ac:dyDescent="0.3">
      <c r="A21" s="1">
        <v>3</v>
      </c>
      <c r="B21" s="71">
        <v>12050041</v>
      </c>
      <c r="C21" s="1" t="s">
        <v>103</v>
      </c>
      <c r="D21" s="33">
        <v>72123010</v>
      </c>
      <c r="E21" s="3"/>
      <c r="F21" s="3">
        <v>160.80000000000001</v>
      </c>
      <c r="G21" s="3">
        <v>79</v>
      </c>
      <c r="H21" s="3">
        <f>F21*G21</f>
        <v>12703.2</v>
      </c>
    </row>
    <row r="22" spans="1:8" ht="34.950000000000003" customHeight="1" x14ac:dyDescent="0.3">
      <c r="A22" s="1">
        <v>4</v>
      </c>
      <c r="B22" s="71">
        <v>12050038</v>
      </c>
      <c r="C22" s="1" t="s">
        <v>102</v>
      </c>
      <c r="D22" s="33">
        <v>72123010</v>
      </c>
      <c r="E22" s="3"/>
      <c r="F22" s="3">
        <v>168.5</v>
      </c>
      <c r="G22" s="3">
        <v>77</v>
      </c>
      <c r="H22" s="3">
        <f>F22*G22</f>
        <v>12974.5</v>
      </c>
    </row>
    <row r="23" spans="1:8" ht="34.950000000000003" customHeight="1" x14ac:dyDescent="0.3">
      <c r="A23" s="1"/>
      <c r="B23" s="32"/>
      <c r="C23" s="34"/>
      <c r="D23" s="33"/>
      <c r="E23" s="2"/>
      <c r="F23" s="3"/>
      <c r="G23" s="3"/>
      <c r="H23" s="3"/>
    </row>
    <row r="24" spans="1:8" ht="34.950000000000003" customHeight="1" x14ac:dyDescent="0.3">
      <c r="A24" s="1"/>
      <c r="B24" s="32"/>
      <c r="C24" s="34"/>
      <c r="D24" s="33"/>
      <c r="E24" s="2"/>
      <c r="F24" s="3"/>
      <c r="G24" s="3"/>
      <c r="H24" s="3"/>
    </row>
    <row r="25" spans="1:8" ht="34.950000000000003" customHeight="1" x14ac:dyDescent="0.3">
      <c r="A25" s="4"/>
      <c r="B25" s="4"/>
      <c r="C25" s="35"/>
      <c r="D25" s="4"/>
      <c r="E25" s="4"/>
      <c r="F25" s="4"/>
      <c r="G25" s="4"/>
      <c r="H25" s="4"/>
    </row>
    <row r="27" spans="1:8" ht="22.5" customHeight="1" x14ac:dyDescent="0.3">
      <c r="E27" s="132" t="s">
        <v>41</v>
      </c>
      <c r="F27" s="198"/>
      <c r="G27" s="199"/>
      <c r="H27" s="5">
        <f>SUM(H19:H25)</f>
        <v>52096.399999999994</v>
      </c>
    </row>
    <row r="28" spans="1:8" ht="22.5" customHeight="1" x14ac:dyDescent="0.3">
      <c r="E28" s="132" t="s">
        <v>42</v>
      </c>
      <c r="F28" s="198"/>
      <c r="G28" s="199"/>
      <c r="H28" s="5">
        <v>4000</v>
      </c>
    </row>
    <row r="29" spans="1:8" ht="22.5" customHeight="1" x14ac:dyDescent="0.3">
      <c r="E29" s="133" t="s">
        <v>43</v>
      </c>
      <c r="F29" s="200"/>
      <c r="G29" s="201"/>
      <c r="H29" s="6">
        <f>SUM(H27:H28)</f>
        <v>56096.399999999994</v>
      </c>
    </row>
    <row r="30" spans="1:8" ht="22.5" customHeight="1" x14ac:dyDescent="0.3">
      <c r="E30" s="132" t="s">
        <v>44</v>
      </c>
      <c r="F30" s="198"/>
      <c r="G30" s="199"/>
      <c r="H30" s="5">
        <f>$H$29*9%</f>
        <v>5048.6759999999995</v>
      </c>
    </row>
    <row r="31" spans="1:8" ht="22.5" customHeight="1" x14ac:dyDescent="0.3">
      <c r="E31" s="132" t="s">
        <v>45</v>
      </c>
      <c r="F31" s="198"/>
      <c r="G31" s="199"/>
      <c r="H31" s="5">
        <f>$H$29*9%</f>
        <v>5048.6759999999995</v>
      </c>
    </row>
    <row r="32" spans="1:8" ht="22.5" customHeight="1" x14ac:dyDescent="0.35">
      <c r="E32" s="134" t="s">
        <v>46</v>
      </c>
      <c r="F32" s="202"/>
      <c r="G32" s="203"/>
      <c r="H32" s="7">
        <f>SUM(H29:H31)</f>
        <v>66193.751999999993</v>
      </c>
    </row>
    <row r="34" spans="1:8" ht="18.75" customHeight="1" x14ac:dyDescent="0.3">
      <c r="A34" s="155" t="s">
        <v>112</v>
      </c>
      <c r="B34" s="156"/>
      <c r="C34" s="156"/>
      <c r="D34" s="156"/>
      <c r="E34" s="156"/>
      <c r="F34" s="156"/>
      <c r="G34" s="156"/>
      <c r="H34" s="157"/>
    </row>
    <row r="35" spans="1:8" x14ac:dyDescent="0.3">
      <c r="A35" s="26"/>
      <c r="B35" s="26"/>
      <c r="C35" s="26"/>
      <c r="D35" s="26"/>
      <c r="E35" s="26"/>
      <c r="F35" s="26"/>
      <c r="G35" s="26"/>
      <c r="H35" s="26"/>
    </row>
    <row r="36" spans="1:8" ht="17.399999999999999" x14ac:dyDescent="0.35">
      <c r="A36" s="124" t="s">
        <v>83</v>
      </c>
      <c r="B36" s="125"/>
      <c r="C36" s="126"/>
      <c r="D36" s="36"/>
      <c r="E36" s="27"/>
      <c r="F36" s="28"/>
      <c r="G36" s="28"/>
      <c r="H36" s="29" t="s">
        <v>47</v>
      </c>
    </row>
    <row r="37" spans="1:8" ht="15" customHeight="1" x14ac:dyDescent="0.3">
      <c r="A37" s="114" t="s">
        <v>48</v>
      </c>
      <c r="B37" s="115"/>
      <c r="C37" s="25" t="s">
        <v>49</v>
      </c>
      <c r="D37" s="37"/>
      <c r="E37" s="116" t="s">
        <v>50</v>
      </c>
      <c r="F37" s="116"/>
      <c r="G37" s="116"/>
      <c r="H37" s="117"/>
    </row>
    <row r="38" spans="1:8" x14ac:dyDescent="0.3">
      <c r="A38" s="114" t="s">
        <v>51</v>
      </c>
      <c r="B38" s="115"/>
      <c r="C38" s="72" t="s">
        <v>111</v>
      </c>
      <c r="D38" s="37"/>
      <c r="E38" s="118"/>
      <c r="F38" s="118"/>
      <c r="G38" s="118"/>
      <c r="H38" s="119"/>
    </row>
    <row r="39" spans="1:8" x14ac:dyDescent="0.3">
      <c r="A39" s="114" t="s">
        <v>52</v>
      </c>
      <c r="B39" s="115"/>
      <c r="C39" s="25" t="s">
        <v>53</v>
      </c>
      <c r="D39" s="37"/>
      <c r="E39" s="26"/>
      <c r="F39" s="26"/>
      <c r="G39" s="26"/>
      <c r="H39" s="30"/>
    </row>
    <row r="40" spans="1:8" x14ac:dyDescent="0.3">
      <c r="A40" s="120" t="s">
        <v>54</v>
      </c>
      <c r="B40" s="121"/>
      <c r="C40" s="31" t="s">
        <v>55</v>
      </c>
      <c r="D40" s="38"/>
      <c r="E40" s="122" t="s">
        <v>56</v>
      </c>
      <c r="F40" s="122"/>
      <c r="G40" s="122"/>
      <c r="H40" s="123"/>
    </row>
    <row r="41" spans="1:8" x14ac:dyDescent="0.3">
      <c r="A41" s="26"/>
      <c r="B41" s="26"/>
      <c r="C41" s="26"/>
      <c r="D41" s="26"/>
      <c r="E41" s="112"/>
      <c r="F41" s="112"/>
      <c r="G41" s="112"/>
      <c r="H41" s="112"/>
    </row>
    <row r="42" spans="1:8" x14ac:dyDescent="0.3">
      <c r="A42" s="113" t="s">
        <v>57</v>
      </c>
      <c r="B42" s="113"/>
      <c r="C42" s="113"/>
      <c r="D42" s="113"/>
      <c r="E42" s="113"/>
      <c r="F42" s="113"/>
      <c r="G42" s="113"/>
      <c r="H42" s="113"/>
    </row>
    <row r="43" spans="1:8" x14ac:dyDescent="0.3">
      <c r="A43" s="113" t="s">
        <v>58</v>
      </c>
      <c r="B43" s="113"/>
      <c r="C43" s="113"/>
      <c r="D43" s="113"/>
      <c r="E43" s="113"/>
      <c r="F43" s="113"/>
      <c r="G43" s="113"/>
      <c r="H43" s="113"/>
    </row>
  </sheetData>
  <mergeCells count="35">
    <mergeCell ref="E41:H41"/>
    <mergeCell ref="A42:H42"/>
    <mergeCell ref="A43:H43"/>
    <mergeCell ref="A37:B37"/>
    <mergeCell ref="E37:H37"/>
    <mergeCell ref="A38:B38"/>
    <mergeCell ref="E38:H38"/>
    <mergeCell ref="A39:B39"/>
    <mergeCell ref="A40:B40"/>
    <mergeCell ref="E40:H40"/>
    <mergeCell ref="A36:C36"/>
    <mergeCell ref="E12:F12"/>
    <mergeCell ref="G12:H12"/>
    <mergeCell ref="E14:F14"/>
    <mergeCell ref="G14:H14"/>
    <mergeCell ref="E27:G27"/>
    <mergeCell ref="E28:G28"/>
    <mergeCell ref="E29:G29"/>
    <mergeCell ref="E30:G30"/>
    <mergeCell ref="E31:G31"/>
    <mergeCell ref="E32:G32"/>
    <mergeCell ref="A34:H34"/>
    <mergeCell ref="E9:F9"/>
    <mergeCell ref="G9:H9"/>
    <mergeCell ref="E10:F10"/>
    <mergeCell ref="G10:H10"/>
    <mergeCell ref="E11:F11"/>
    <mergeCell ref="G11:H11"/>
    <mergeCell ref="A8:D8"/>
    <mergeCell ref="E8:H8"/>
    <mergeCell ref="A1:H1"/>
    <mergeCell ref="A2:H2"/>
    <mergeCell ref="A4:H4"/>
    <mergeCell ref="A5:H5"/>
    <mergeCell ref="A6:H6"/>
  </mergeCells>
  <pageMargins left="0.7" right="0.7" top="0.75" bottom="0.75" header="0.3" footer="0.3"/>
  <pageSetup scale="72" fitToWidth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68CA-237C-4297-AD21-9C0FEC88B8D6}">
  <sheetPr>
    <pageSetUpPr fitToPage="1"/>
  </sheetPr>
  <dimension ref="A1:H43"/>
  <sheetViews>
    <sheetView showGridLines="0" topLeftCell="A24" zoomScale="96" zoomScaleNormal="100" workbookViewId="0">
      <selection activeCell="A43" sqref="A43:H43"/>
    </sheetView>
  </sheetViews>
  <sheetFormatPr defaultColWidth="8.6640625" defaultRowHeight="14.4" x14ac:dyDescent="0.3"/>
  <cols>
    <col min="1" max="1" width="7.44140625" customWidth="1"/>
    <col min="2" max="2" width="13.33203125" customWidth="1"/>
    <col min="3" max="3" width="42.5546875" customWidth="1"/>
    <col min="4" max="4" width="8.6640625" customWidth="1"/>
    <col min="5" max="5" width="9.77734375" customWidth="1"/>
    <col min="6" max="6" width="10" bestFit="1" customWidth="1"/>
    <col min="7" max="7" width="10.109375" customWidth="1"/>
    <col min="8" max="8" width="18" customWidth="1"/>
  </cols>
  <sheetData>
    <row r="1" spans="1:8" ht="18.75" customHeight="1" x14ac:dyDescent="0.3">
      <c r="A1" s="143" t="s">
        <v>0</v>
      </c>
      <c r="B1" s="144"/>
      <c r="C1" s="144"/>
      <c r="D1" s="144"/>
      <c r="E1" s="144"/>
      <c r="F1" s="144"/>
      <c r="G1" s="144"/>
      <c r="H1" s="145"/>
    </row>
    <row r="2" spans="1:8" ht="18.75" customHeight="1" x14ac:dyDescent="0.3">
      <c r="A2" s="146" t="s">
        <v>1</v>
      </c>
      <c r="B2" s="147"/>
      <c r="C2" s="147"/>
      <c r="D2" s="147"/>
      <c r="E2" s="147"/>
      <c r="F2" s="147"/>
      <c r="G2" s="147"/>
      <c r="H2" s="14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85</v>
      </c>
      <c r="D9" s="11"/>
      <c r="E9" s="127" t="s">
        <v>10</v>
      </c>
      <c r="F9" s="127"/>
      <c r="G9" s="128" t="s">
        <v>106</v>
      </c>
      <c r="H9" s="129"/>
    </row>
    <row r="10" spans="1:8" ht="21.75" customHeight="1" x14ac:dyDescent="0.3">
      <c r="A10" s="10" t="s">
        <v>12</v>
      </c>
      <c r="B10" s="11"/>
      <c r="C10" s="12" t="s">
        <v>87</v>
      </c>
      <c r="D10" s="11"/>
      <c r="E10" s="127" t="s">
        <v>14</v>
      </c>
      <c r="F10" s="127"/>
      <c r="G10" s="138">
        <v>46175</v>
      </c>
      <c r="H10" s="139"/>
    </row>
    <row r="11" spans="1:8" ht="21.75" customHeight="1" x14ac:dyDescent="0.3">
      <c r="A11" s="10" t="s">
        <v>15</v>
      </c>
      <c r="B11" s="11"/>
      <c r="C11" s="12" t="s">
        <v>88</v>
      </c>
      <c r="D11" s="11"/>
      <c r="E11" s="127" t="s">
        <v>17</v>
      </c>
      <c r="F11" s="127"/>
      <c r="G11" s="128" t="s">
        <v>89</v>
      </c>
      <c r="H11" s="129"/>
    </row>
    <row r="12" spans="1:8" ht="21.75" customHeight="1" x14ac:dyDescent="0.3">
      <c r="A12" s="10" t="s">
        <v>19</v>
      </c>
      <c r="B12" s="11"/>
      <c r="C12" s="12" t="s">
        <v>107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46172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50" t="s">
        <v>92</v>
      </c>
      <c r="B16" s="21"/>
      <c r="C16" s="21"/>
      <c r="D16" s="21"/>
      <c r="E16" s="22" t="s">
        <v>76</v>
      </c>
      <c r="F16" s="23"/>
      <c r="G16" s="40" t="s">
        <v>110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4.950000000000003" customHeight="1" x14ac:dyDescent="0.3">
      <c r="A19" s="1">
        <v>1</v>
      </c>
      <c r="B19" s="71">
        <v>12110024</v>
      </c>
      <c r="C19" s="1" t="s">
        <v>108</v>
      </c>
      <c r="D19" s="33">
        <v>72155010</v>
      </c>
      <c r="E19" s="2"/>
      <c r="F19" s="3">
        <v>57.6</v>
      </c>
      <c r="G19" s="3">
        <v>75</v>
      </c>
      <c r="H19" s="3">
        <f>F19*G19</f>
        <v>4320</v>
      </c>
    </row>
    <row r="20" spans="1:8" ht="34.950000000000003" customHeight="1" x14ac:dyDescent="0.3">
      <c r="A20" s="1">
        <v>2</v>
      </c>
      <c r="B20" s="71">
        <v>12110048</v>
      </c>
      <c r="C20" s="1" t="s">
        <v>109</v>
      </c>
      <c r="D20" s="33">
        <v>72155010</v>
      </c>
      <c r="E20" s="2"/>
      <c r="F20" s="3">
        <v>60.8</v>
      </c>
      <c r="G20" s="3">
        <v>75</v>
      </c>
      <c r="H20" s="3">
        <f>F20*G20</f>
        <v>4560</v>
      </c>
    </row>
    <row r="21" spans="1:8" ht="34.950000000000003" customHeight="1" x14ac:dyDescent="0.3">
      <c r="A21" s="1"/>
      <c r="B21" s="71"/>
      <c r="C21" s="1"/>
      <c r="D21" s="33"/>
      <c r="E21" s="2"/>
      <c r="F21" s="3"/>
      <c r="G21" s="3"/>
      <c r="H21" s="3"/>
    </row>
    <row r="22" spans="1:8" ht="34.950000000000003" customHeight="1" x14ac:dyDescent="0.3">
      <c r="A22" s="1"/>
      <c r="B22" s="71"/>
      <c r="C22" s="1"/>
      <c r="D22" s="33"/>
      <c r="E22" s="2"/>
      <c r="F22" s="3"/>
      <c r="G22" s="3"/>
      <c r="H22" s="3"/>
    </row>
    <row r="23" spans="1:8" ht="34.950000000000003" customHeight="1" x14ac:dyDescent="0.3">
      <c r="A23" s="1"/>
      <c r="B23" s="32"/>
      <c r="C23" s="34"/>
      <c r="D23" s="33"/>
      <c r="E23" s="2"/>
      <c r="F23" s="3"/>
      <c r="G23" s="3"/>
      <c r="H23" s="3"/>
    </row>
    <row r="24" spans="1:8" ht="34.950000000000003" customHeight="1" x14ac:dyDescent="0.3">
      <c r="A24" s="1"/>
      <c r="B24" s="32"/>
      <c r="C24" s="34"/>
      <c r="D24" s="33"/>
      <c r="E24" s="2"/>
      <c r="F24" s="3"/>
      <c r="G24" s="3"/>
      <c r="H24" s="3"/>
    </row>
    <row r="25" spans="1:8" ht="34.950000000000003" customHeight="1" x14ac:dyDescent="0.3">
      <c r="A25" s="4"/>
      <c r="B25" s="4"/>
      <c r="C25" s="35"/>
      <c r="D25" s="4"/>
      <c r="E25" s="4"/>
      <c r="F25" s="4"/>
      <c r="G25" s="4"/>
      <c r="H25" s="4"/>
    </row>
    <row r="27" spans="1:8" ht="22.5" customHeight="1" x14ac:dyDescent="0.3">
      <c r="E27" s="132" t="s">
        <v>41</v>
      </c>
      <c r="F27" s="132"/>
      <c r="G27" s="132"/>
      <c r="H27" s="5">
        <f>SUM(H19:H25)</f>
        <v>8880</v>
      </c>
    </row>
    <row r="28" spans="1:8" ht="22.5" customHeight="1" x14ac:dyDescent="0.3">
      <c r="E28" s="132" t="s">
        <v>42</v>
      </c>
      <c r="F28" s="132"/>
      <c r="G28" s="132"/>
      <c r="H28" s="5">
        <v>2000</v>
      </c>
    </row>
    <row r="29" spans="1:8" ht="22.5" customHeight="1" x14ac:dyDescent="0.3">
      <c r="E29" s="133" t="s">
        <v>43</v>
      </c>
      <c r="F29" s="133"/>
      <c r="G29" s="133"/>
      <c r="H29" s="6">
        <f>SUM(H27:H28)</f>
        <v>10880</v>
      </c>
    </row>
    <row r="30" spans="1:8" ht="22.5" customHeight="1" x14ac:dyDescent="0.3">
      <c r="E30" s="132" t="s">
        <v>44</v>
      </c>
      <c r="F30" s="132"/>
      <c r="G30" s="132"/>
      <c r="H30" s="5">
        <f>$H$29*9%</f>
        <v>979.19999999999993</v>
      </c>
    </row>
    <row r="31" spans="1:8" ht="22.5" customHeight="1" x14ac:dyDescent="0.3">
      <c r="E31" s="132" t="s">
        <v>45</v>
      </c>
      <c r="F31" s="132"/>
      <c r="G31" s="132"/>
      <c r="H31" s="5">
        <f>$H$29*9%</f>
        <v>979.19999999999993</v>
      </c>
    </row>
    <row r="32" spans="1:8" ht="22.5" customHeight="1" x14ac:dyDescent="0.35">
      <c r="E32" s="134" t="s">
        <v>46</v>
      </c>
      <c r="F32" s="134"/>
      <c r="G32" s="134"/>
      <c r="H32" s="7">
        <f>SUM(H29:H31)</f>
        <v>12838.400000000001</v>
      </c>
    </row>
    <row r="34" spans="1:8" ht="18.75" customHeight="1" x14ac:dyDescent="0.3">
      <c r="A34" s="155" t="s">
        <v>113</v>
      </c>
      <c r="B34" s="156"/>
      <c r="C34" s="156"/>
      <c r="D34" s="156"/>
      <c r="E34" s="156"/>
      <c r="F34" s="156"/>
      <c r="G34" s="156"/>
      <c r="H34" s="157"/>
    </row>
    <row r="35" spans="1:8" x14ac:dyDescent="0.3">
      <c r="A35" s="26"/>
      <c r="B35" s="26"/>
      <c r="C35" s="26"/>
      <c r="D35" s="26"/>
      <c r="E35" s="26"/>
      <c r="F35" s="26"/>
      <c r="G35" s="26"/>
      <c r="H35" s="26"/>
    </row>
    <row r="36" spans="1:8" ht="17.399999999999999" x14ac:dyDescent="0.35">
      <c r="A36" s="124" t="s">
        <v>83</v>
      </c>
      <c r="B36" s="125"/>
      <c r="C36" s="126"/>
      <c r="D36" s="36"/>
      <c r="E36" s="27"/>
      <c r="F36" s="28"/>
      <c r="G36" s="28"/>
      <c r="H36" s="29" t="s">
        <v>47</v>
      </c>
    </row>
    <row r="37" spans="1:8" ht="15" customHeight="1" x14ac:dyDescent="0.3">
      <c r="A37" s="114" t="s">
        <v>48</v>
      </c>
      <c r="B37" s="115"/>
      <c r="C37" s="25" t="s">
        <v>49</v>
      </c>
      <c r="D37" s="37"/>
      <c r="E37" s="116" t="s">
        <v>50</v>
      </c>
      <c r="F37" s="116"/>
      <c r="G37" s="116"/>
      <c r="H37" s="117"/>
    </row>
    <row r="38" spans="1:8" x14ac:dyDescent="0.3">
      <c r="A38" s="114" t="s">
        <v>51</v>
      </c>
      <c r="B38" s="115"/>
      <c r="C38" s="72" t="s">
        <v>111</v>
      </c>
      <c r="D38" s="37"/>
      <c r="E38" s="118"/>
      <c r="F38" s="118"/>
      <c r="G38" s="118"/>
      <c r="H38" s="119"/>
    </row>
    <row r="39" spans="1:8" x14ac:dyDescent="0.3">
      <c r="A39" s="114" t="s">
        <v>52</v>
      </c>
      <c r="B39" s="115"/>
      <c r="C39" s="25" t="s">
        <v>53</v>
      </c>
      <c r="D39" s="37"/>
      <c r="E39" s="26"/>
      <c r="F39" s="26"/>
      <c r="G39" s="26"/>
      <c r="H39" s="30"/>
    </row>
    <row r="40" spans="1:8" x14ac:dyDescent="0.3">
      <c r="A40" s="120" t="s">
        <v>54</v>
      </c>
      <c r="B40" s="121"/>
      <c r="C40" s="31" t="s">
        <v>55</v>
      </c>
      <c r="D40" s="38"/>
      <c r="E40" s="122" t="s">
        <v>56</v>
      </c>
      <c r="F40" s="122"/>
      <c r="G40" s="122"/>
      <c r="H40" s="123"/>
    </row>
    <row r="41" spans="1:8" x14ac:dyDescent="0.3">
      <c r="A41" s="26"/>
      <c r="B41" s="26"/>
      <c r="C41" s="26"/>
      <c r="D41" s="26"/>
      <c r="E41" s="112"/>
      <c r="F41" s="112"/>
      <c r="G41" s="112"/>
      <c r="H41" s="112"/>
    </row>
    <row r="42" spans="1:8" x14ac:dyDescent="0.3">
      <c r="A42" s="113" t="s">
        <v>57</v>
      </c>
      <c r="B42" s="113"/>
      <c r="C42" s="113"/>
      <c r="D42" s="113"/>
      <c r="E42" s="113"/>
      <c r="F42" s="113"/>
      <c r="G42" s="113"/>
      <c r="H42" s="113"/>
    </row>
    <row r="43" spans="1:8" x14ac:dyDescent="0.3">
      <c r="A43" s="113" t="s">
        <v>58</v>
      </c>
      <c r="B43" s="113"/>
      <c r="C43" s="113"/>
      <c r="D43" s="113"/>
      <c r="E43" s="113"/>
      <c r="F43" s="113"/>
      <c r="G43" s="113"/>
      <c r="H43" s="113"/>
    </row>
  </sheetData>
  <mergeCells count="35">
    <mergeCell ref="E41:H41"/>
    <mergeCell ref="A42:H42"/>
    <mergeCell ref="A43:H43"/>
    <mergeCell ref="A37:B37"/>
    <mergeCell ref="E37:H37"/>
    <mergeCell ref="A38:B38"/>
    <mergeCell ref="E38:H38"/>
    <mergeCell ref="A39:B39"/>
    <mergeCell ref="A40:B40"/>
    <mergeCell ref="E40:H40"/>
    <mergeCell ref="A36:C36"/>
    <mergeCell ref="E12:F12"/>
    <mergeCell ref="G12:H12"/>
    <mergeCell ref="E14:F14"/>
    <mergeCell ref="G14:H14"/>
    <mergeCell ref="E27:G27"/>
    <mergeCell ref="E28:G28"/>
    <mergeCell ref="E29:G29"/>
    <mergeCell ref="E30:G30"/>
    <mergeCell ref="E31:G31"/>
    <mergeCell ref="E32:G32"/>
    <mergeCell ref="A34:H34"/>
    <mergeCell ref="E9:F9"/>
    <mergeCell ref="G9:H9"/>
    <mergeCell ref="E10:F10"/>
    <mergeCell ref="G10:H10"/>
    <mergeCell ref="E11:F11"/>
    <mergeCell ref="G11:H11"/>
    <mergeCell ref="A8:D8"/>
    <mergeCell ref="E8:H8"/>
    <mergeCell ref="A1:H1"/>
    <mergeCell ref="A2:H2"/>
    <mergeCell ref="A4:H4"/>
    <mergeCell ref="A5:H5"/>
    <mergeCell ref="A6:H6"/>
  </mergeCells>
  <pageMargins left="0.7" right="0.7" top="0.75" bottom="0.75" header="0.3" footer="0.3"/>
  <pageSetup scale="72" fitToWidth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8F7D-59FF-4802-B6E6-CE8D6D1DF0AA}">
  <sheetPr>
    <pageSetUpPr fitToPage="1"/>
  </sheetPr>
  <dimension ref="A1:H43"/>
  <sheetViews>
    <sheetView showGridLines="0" topLeftCell="A24" zoomScale="84" zoomScaleNormal="100" workbookViewId="0">
      <selection activeCell="A42" sqref="A42:H42"/>
    </sheetView>
  </sheetViews>
  <sheetFormatPr defaultColWidth="8.6640625" defaultRowHeight="14.4" x14ac:dyDescent="0.3"/>
  <cols>
    <col min="1" max="1" width="7.44140625" customWidth="1"/>
    <col min="2" max="2" width="13.33203125" customWidth="1"/>
    <col min="3" max="3" width="42.5546875" customWidth="1"/>
    <col min="4" max="4" width="8.6640625" customWidth="1"/>
    <col min="5" max="5" width="9.77734375" customWidth="1"/>
    <col min="6" max="6" width="10" bestFit="1" customWidth="1"/>
    <col min="7" max="7" width="10.109375" customWidth="1"/>
    <col min="8" max="8" width="18" customWidth="1"/>
  </cols>
  <sheetData>
    <row r="1" spans="1:8" ht="18.75" customHeight="1" x14ac:dyDescent="0.3">
      <c r="A1" s="143" t="s">
        <v>0</v>
      </c>
      <c r="B1" s="144"/>
      <c r="C1" s="144"/>
      <c r="D1" s="144"/>
      <c r="E1" s="144"/>
      <c r="F1" s="144"/>
      <c r="G1" s="144"/>
      <c r="H1" s="145"/>
    </row>
    <row r="2" spans="1:8" ht="18.75" customHeight="1" x14ac:dyDescent="0.3">
      <c r="A2" s="146" t="s">
        <v>1</v>
      </c>
      <c r="B2" s="147"/>
      <c r="C2" s="147"/>
      <c r="D2" s="147"/>
      <c r="E2" s="147"/>
      <c r="F2" s="147"/>
      <c r="G2" s="147"/>
      <c r="H2" s="14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85</v>
      </c>
      <c r="D9" s="11"/>
      <c r="E9" s="127" t="s">
        <v>10</v>
      </c>
      <c r="F9" s="127"/>
      <c r="G9" s="128" t="s">
        <v>119</v>
      </c>
      <c r="H9" s="129"/>
    </row>
    <row r="10" spans="1:8" ht="21.75" customHeight="1" x14ac:dyDescent="0.3">
      <c r="A10" s="10" t="s">
        <v>12</v>
      </c>
      <c r="B10" s="11"/>
      <c r="C10" s="12" t="s">
        <v>87</v>
      </c>
      <c r="D10" s="11"/>
      <c r="E10" s="127" t="s">
        <v>14</v>
      </c>
      <c r="F10" s="127"/>
      <c r="G10" s="138">
        <v>46194</v>
      </c>
      <c r="H10" s="139"/>
    </row>
    <row r="11" spans="1:8" ht="21.75" customHeight="1" x14ac:dyDescent="0.3">
      <c r="A11" s="10" t="s">
        <v>15</v>
      </c>
      <c r="B11" s="11"/>
      <c r="C11" s="12" t="s">
        <v>88</v>
      </c>
      <c r="D11" s="11"/>
      <c r="E11" s="127" t="s">
        <v>17</v>
      </c>
      <c r="F11" s="127"/>
      <c r="G11" s="128" t="s">
        <v>89</v>
      </c>
      <c r="H11" s="129"/>
    </row>
    <row r="12" spans="1:8" ht="21.75" customHeight="1" x14ac:dyDescent="0.3">
      <c r="A12" s="10" t="s">
        <v>19</v>
      </c>
      <c r="B12" s="11"/>
      <c r="C12" s="12" t="s">
        <v>120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46184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50" t="s">
        <v>92</v>
      </c>
      <c r="B16" s="21"/>
      <c r="C16" s="21"/>
      <c r="D16" s="21"/>
      <c r="E16" s="22" t="s">
        <v>76</v>
      </c>
      <c r="F16" s="23"/>
      <c r="G16" s="40" t="s">
        <v>110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4.950000000000003" customHeight="1" x14ac:dyDescent="0.3">
      <c r="A19" s="1">
        <v>1</v>
      </c>
      <c r="B19" s="71">
        <v>12090114</v>
      </c>
      <c r="C19" s="1" t="s">
        <v>121</v>
      </c>
      <c r="D19" s="33">
        <v>72161000</v>
      </c>
      <c r="E19" s="2">
        <v>2</v>
      </c>
      <c r="F19" s="3">
        <v>86</v>
      </c>
      <c r="G19" s="3">
        <v>56</v>
      </c>
      <c r="H19" s="3">
        <f>F19*G19</f>
        <v>4816</v>
      </c>
    </row>
    <row r="20" spans="1:8" ht="34.950000000000003" customHeight="1" x14ac:dyDescent="0.3">
      <c r="A20" s="1">
        <v>2</v>
      </c>
      <c r="B20" s="71">
        <v>12050011</v>
      </c>
      <c r="C20" s="1" t="s">
        <v>122</v>
      </c>
      <c r="D20" s="33">
        <v>72111400</v>
      </c>
      <c r="E20" s="2">
        <v>4</v>
      </c>
      <c r="F20" s="3">
        <v>104</v>
      </c>
      <c r="G20" s="3">
        <v>56.5</v>
      </c>
      <c r="H20" s="3">
        <f>F20*G20</f>
        <v>5876</v>
      </c>
    </row>
    <row r="21" spans="1:8" ht="34.950000000000003" customHeight="1" x14ac:dyDescent="0.3">
      <c r="A21" s="1"/>
      <c r="B21" s="71"/>
      <c r="C21" s="1"/>
      <c r="D21" s="33"/>
      <c r="E21" s="2"/>
      <c r="F21" s="3"/>
      <c r="G21" s="3"/>
      <c r="H21" s="3"/>
    </row>
    <row r="22" spans="1:8" ht="34.950000000000003" customHeight="1" x14ac:dyDescent="0.3">
      <c r="A22" s="1"/>
      <c r="B22" s="71"/>
      <c r="C22" s="1"/>
      <c r="D22" s="33"/>
      <c r="E22" s="2"/>
      <c r="F22" s="3"/>
      <c r="G22" s="3"/>
      <c r="H22" s="3"/>
    </row>
    <row r="23" spans="1:8" ht="34.950000000000003" customHeight="1" x14ac:dyDescent="0.3">
      <c r="A23" s="1"/>
      <c r="B23" s="32"/>
      <c r="C23" s="34"/>
      <c r="D23" s="33"/>
      <c r="E23" s="2"/>
      <c r="F23" s="3"/>
      <c r="G23" s="3"/>
      <c r="H23" s="3"/>
    </row>
    <row r="24" spans="1:8" ht="34.950000000000003" customHeight="1" x14ac:dyDescent="0.3">
      <c r="A24" s="1"/>
      <c r="B24" s="32"/>
      <c r="C24" s="34"/>
      <c r="D24" s="33"/>
      <c r="E24" s="2"/>
      <c r="F24" s="3"/>
      <c r="G24" s="3"/>
      <c r="H24" s="3"/>
    </row>
    <row r="25" spans="1:8" ht="34.950000000000003" customHeight="1" x14ac:dyDescent="0.3">
      <c r="A25" s="4"/>
      <c r="B25" s="4"/>
      <c r="C25" s="35"/>
      <c r="D25" s="4"/>
      <c r="E25" s="4"/>
      <c r="F25" s="4"/>
      <c r="G25" s="4"/>
      <c r="H25" s="4"/>
    </row>
    <row r="27" spans="1:8" ht="22.5" customHeight="1" x14ac:dyDescent="0.3">
      <c r="E27" s="132" t="s">
        <v>41</v>
      </c>
      <c r="F27" s="132"/>
      <c r="G27" s="132"/>
      <c r="H27" s="5">
        <f>SUM(H19:H25)</f>
        <v>10692</v>
      </c>
    </row>
    <row r="28" spans="1:8" ht="22.5" customHeight="1" x14ac:dyDescent="0.3">
      <c r="E28" s="132" t="s">
        <v>42</v>
      </c>
      <c r="F28" s="132"/>
      <c r="G28" s="132"/>
      <c r="H28" s="5">
        <v>4000</v>
      </c>
    </row>
    <row r="29" spans="1:8" ht="22.5" customHeight="1" x14ac:dyDescent="0.3">
      <c r="E29" s="133" t="s">
        <v>43</v>
      </c>
      <c r="F29" s="133"/>
      <c r="G29" s="133"/>
      <c r="H29" s="6">
        <f>SUM(H27:H28)</f>
        <v>14692</v>
      </c>
    </row>
    <row r="30" spans="1:8" ht="22.5" customHeight="1" x14ac:dyDescent="0.3">
      <c r="E30" s="132" t="s">
        <v>44</v>
      </c>
      <c r="F30" s="132"/>
      <c r="G30" s="132"/>
      <c r="H30" s="5">
        <f>$H$29*9%</f>
        <v>1322.28</v>
      </c>
    </row>
    <row r="31" spans="1:8" ht="22.5" customHeight="1" x14ac:dyDescent="0.3">
      <c r="E31" s="132" t="s">
        <v>45</v>
      </c>
      <c r="F31" s="132"/>
      <c r="G31" s="132"/>
      <c r="H31" s="5">
        <f>$H$29*9%</f>
        <v>1322.28</v>
      </c>
    </row>
    <row r="32" spans="1:8" ht="22.5" customHeight="1" x14ac:dyDescent="0.35">
      <c r="E32" s="134" t="s">
        <v>46</v>
      </c>
      <c r="F32" s="134"/>
      <c r="G32" s="134"/>
      <c r="H32" s="7">
        <f>SUM(H29:H31)</f>
        <v>17336.560000000001</v>
      </c>
    </row>
    <row r="34" spans="1:8" ht="18.75" customHeight="1" x14ac:dyDescent="0.3">
      <c r="A34" s="155" t="s">
        <v>123</v>
      </c>
      <c r="B34" s="156"/>
      <c r="C34" s="156"/>
      <c r="D34" s="156"/>
      <c r="E34" s="156"/>
      <c r="F34" s="156"/>
      <c r="G34" s="156"/>
      <c r="H34" s="157"/>
    </row>
    <row r="35" spans="1:8" x14ac:dyDescent="0.3">
      <c r="A35" s="26"/>
      <c r="B35" s="26"/>
      <c r="C35" s="26"/>
      <c r="D35" s="26"/>
      <c r="E35" s="26"/>
      <c r="F35" s="26"/>
      <c r="G35" s="26"/>
      <c r="H35" s="26"/>
    </row>
    <row r="36" spans="1:8" ht="17.399999999999999" x14ac:dyDescent="0.35">
      <c r="A36" s="124" t="s">
        <v>83</v>
      </c>
      <c r="B36" s="125"/>
      <c r="C36" s="126"/>
      <c r="D36" s="36"/>
      <c r="E36" s="27"/>
      <c r="F36" s="28"/>
      <c r="G36" s="28"/>
      <c r="H36" s="29" t="s">
        <v>47</v>
      </c>
    </row>
    <row r="37" spans="1:8" ht="15" customHeight="1" x14ac:dyDescent="0.3">
      <c r="A37" s="114" t="s">
        <v>48</v>
      </c>
      <c r="B37" s="115"/>
      <c r="C37" s="25" t="s">
        <v>49</v>
      </c>
      <c r="D37" s="37"/>
      <c r="E37" s="116" t="s">
        <v>50</v>
      </c>
      <c r="F37" s="116"/>
      <c r="G37" s="116"/>
      <c r="H37" s="117"/>
    </row>
    <row r="38" spans="1:8" x14ac:dyDescent="0.3">
      <c r="A38" s="114" t="s">
        <v>51</v>
      </c>
      <c r="B38" s="115"/>
      <c r="C38" s="72" t="s">
        <v>111</v>
      </c>
      <c r="D38" s="37"/>
      <c r="E38" s="118"/>
      <c r="F38" s="118"/>
      <c r="G38" s="118"/>
      <c r="H38" s="119"/>
    </row>
    <row r="39" spans="1:8" x14ac:dyDescent="0.3">
      <c r="A39" s="114" t="s">
        <v>52</v>
      </c>
      <c r="B39" s="115"/>
      <c r="C39" s="25" t="s">
        <v>53</v>
      </c>
      <c r="D39" s="37"/>
      <c r="E39" s="26"/>
      <c r="F39" s="26"/>
      <c r="G39" s="26"/>
      <c r="H39" s="30"/>
    </row>
    <row r="40" spans="1:8" x14ac:dyDescent="0.3">
      <c r="A40" s="120" t="s">
        <v>54</v>
      </c>
      <c r="B40" s="121"/>
      <c r="C40" s="31" t="s">
        <v>55</v>
      </c>
      <c r="D40" s="38"/>
      <c r="E40" s="122" t="s">
        <v>56</v>
      </c>
      <c r="F40" s="122"/>
      <c r="G40" s="122"/>
      <c r="H40" s="123"/>
    </row>
    <row r="41" spans="1:8" x14ac:dyDescent="0.3">
      <c r="A41" s="26"/>
      <c r="B41" s="26"/>
      <c r="C41" s="26"/>
      <c r="D41" s="26"/>
      <c r="E41" s="112"/>
      <c r="F41" s="112"/>
      <c r="G41" s="112"/>
      <c r="H41" s="112"/>
    </row>
    <row r="42" spans="1:8" x14ac:dyDescent="0.3">
      <c r="A42" s="113" t="s">
        <v>57</v>
      </c>
      <c r="B42" s="113"/>
      <c r="C42" s="113"/>
      <c r="D42" s="113"/>
      <c r="E42" s="113"/>
      <c r="F42" s="113"/>
      <c r="G42" s="113"/>
      <c r="H42" s="113"/>
    </row>
    <row r="43" spans="1:8" x14ac:dyDescent="0.3">
      <c r="A43" s="113" t="s">
        <v>58</v>
      </c>
      <c r="B43" s="113"/>
      <c r="C43" s="113"/>
      <c r="D43" s="113"/>
      <c r="E43" s="113"/>
      <c r="F43" s="113"/>
      <c r="G43" s="113"/>
      <c r="H43" s="113"/>
    </row>
  </sheetData>
  <mergeCells count="35">
    <mergeCell ref="E41:H41"/>
    <mergeCell ref="A42:H42"/>
    <mergeCell ref="A43:H43"/>
    <mergeCell ref="A37:B37"/>
    <mergeCell ref="E37:H37"/>
    <mergeCell ref="A38:B38"/>
    <mergeCell ref="E38:H38"/>
    <mergeCell ref="A39:B39"/>
    <mergeCell ref="A40:B40"/>
    <mergeCell ref="E40:H40"/>
    <mergeCell ref="A36:C36"/>
    <mergeCell ref="E12:F12"/>
    <mergeCell ref="G12:H12"/>
    <mergeCell ref="E14:F14"/>
    <mergeCell ref="G14:H14"/>
    <mergeCell ref="E27:G27"/>
    <mergeCell ref="E28:G28"/>
    <mergeCell ref="E29:G29"/>
    <mergeCell ref="E30:G30"/>
    <mergeCell ref="E31:G31"/>
    <mergeCell ref="E32:G32"/>
    <mergeCell ref="A34:H34"/>
    <mergeCell ref="E9:F9"/>
    <mergeCell ref="G9:H9"/>
    <mergeCell ref="E10:F10"/>
    <mergeCell ref="G10:H10"/>
    <mergeCell ref="E11:F11"/>
    <mergeCell ref="G11:H11"/>
    <mergeCell ref="A8:D8"/>
    <mergeCell ref="E8:H8"/>
    <mergeCell ref="A1:H1"/>
    <mergeCell ref="A2:H2"/>
    <mergeCell ref="A4:H4"/>
    <mergeCell ref="A5:H5"/>
    <mergeCell ref="A6:H6"/>
  </mergeCells>
  <pageMargins left="0.7" right="0.7" top="0.75" bottom="0.75" header="0.3" footer="0.3"/>
  <pageSetup scale="72" fitToWidth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F3E3-279D-4106-A9D4-06EF3E6F98F7}">
  <sheetPr>
    <pageSetUpPr fitToPage="1"/>
  </sheetPr>
  <dimension ref="A1:H43"/>
  <sheetViews>
    <sheetView showGridLines="0" topLeftCell="A13" zoomScale="125" zoomScaleNormal="100" workbookViewId="0">
      <selection activeCell="C19" sqref="C19"/>
    </sheetView>
  </sheetViews>
  <sheetFormatPr defaultColWidth="8.6640625" defaultRowHeight="14.4" x14ac:dyDescent="0.3"/>
  <cols>
    <col min="1" max="1" width="7.44140625" customWidth="1"/>
    <col min="2" max="2" width="13.33203125" customWidth="1"/>
    <col min="3" max="3" width="42.5546875" customWidth="1"/>
    <col min="4" max="4" width="8.6640625" customWidth="1"/>
    <col min="5" max="5" width="9.77734375" customWidth="1"/>
    <col min="6" max="6" width="10.33203125" bestFit="1" customWidth="1"/>
    <col min="7" max="7" width="10.109375" customWidth="1"/>
    <col min="8" max="8" width="18" customWidth="1"/>
  </cols>
  <sheetData>
    <row r="1" spans="1:8" ht="18.75" customHeight="1" x14ac:dyDescent="0.3">
      <c r="A1" s="73" t="s">
        <v>0</v>
      </c>
      <c r="B1" s="74"/>
      <c r="C1" s="74"/>
      <c r="D1" s="74"/>
      <c r="E1" s="74"/>
      <c r="F1" s="74"/>
      <c r="G1" s="74"/>
      <c r="H1" s="75"/>
    </row>
    <row r="2" spans="1:8" ht="18.75" customHeight="1" x14ac:dyDescent="0.3">
      <c r="A2" s="76" t="s">
        <v>1</v>
      </c>
      <c r="B2" s="77"/>
      <c r="C2" s="77"/>
      <c r="D2" s="77"/>
      <c r="E2" s="77"/>
      <c r="F2" s="77"/>
      <c r="G2" s="77"/>
      <c r="H2" s="7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85</v>
      </c>
      <c r="D9" s="11"/>
      <c r="E9" s="127" t="s">
        <v>10</v>
      </c>
      <c r="F9" s="127"/>
      <c r="G9" s="128" t="s">
        <v>114</v>
      </c>
      <c r="H9" s="129"/>
    </row>
    <row r="10" spans="1:8" ht="21.75" customHeight="1" x14ac:dyDescent="0.3">
      <c r="A10" s="10" t="s">
        <v>12</v>
      </c>
      <c r="B10" s="11"/>
      <c r="C10" s="12" t="s">
        <v>87</v>
      </c>
      <c r="D10" s="11"/>
      <c r="E10" s="127" t="s">
        <v>14</v>
      </c>
      <c r="F10" s="127"/>
      <c r="G10" s="138">
        <v>46194</v>
      </c>
      <c r="H10" s="139"/>
    </row>
    <row r="11" spans="1:8" ht="21.75" customHeight="1" x14ac:dyDescent="0.3">
      <c r="A11" s="10" t="s">
        <v>15</v>
      </c>
      <c r="B11" s="11"/>
      <c r="C11" s="12" t="s">
        <v>88</v>
      </c>
      <c r="D11" s="11"/>
      <c r="E11" s="127" t="s">
        <v>17</v>
      </c>
      <c r="F11" s="127"/>
      <c r="G11" s="128" t="s">
        <v>89</v>
      </c>
      <c r="H11" s="129"/>
    </row>
    <row r="12" spans="1:8" ht="21.75" customHeight="1" x14ac:dyDescent="0.3">
      <c r="A12" s="10" t="s">
        <v>19</v>
      </c>
      <c r="B12" s="11"/>
      <c r="C12" s="12" t="s">
        <v>115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46193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50" t="s">
        <v>92</v>
      </c>
      <c r="B16" s="21"/>
      <c r="C16" s="21"/>
      <c r="D16" s="21"/>
      <c r="E16" s="22" t="s">
        <v>76</v>
      </c>
      <c r="F16" s="23"/>
      <c r="G16" s="40" t="s">
        <v>118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4.950000000000003" customHeight="1" x14ac:dyDescent="0.3">
      <c r="A19" s="1">
        <v>1</v>
      </c>
      <c r="B19" s="71">
        <v>12090107</v>
      </c>
      <c r="C19" s="1" t="s">
        <v>116</v>
      </c>
      <c r="D19" s="33">
        <v>72085100</v>
      </c>
      <c r="E19" s="2">
        <v>4</v>
      </c>
      <c r="F19" s="3">
        <v>1465</v>
      </c>
      <c r="G19" s="3">
        <v>63.75</v>
      </c>
      <c r="H19" s="3">
        <f>F19*G19</f>
        <v>93393.75</v>
      </c>
    </row>
    <row r="20" spans="1:8" ht="34.950000000000003" customHeight="1" x14ac:dyDescent="0.3">
      <c r="A20" s="1"/>
      <c r="B20" s="71"/>
      <c r="C20" s="1"/>
      <c r="D20" s="33"/>
      <c r="E20" s="2"/>
      <c r="F20" s="3"/>
      <c r="G20" s="3"/>
      <c r="H20" s="3"/>
    </row>
    <row r="21" spans="1:8" ht="34.950000000000003" customHeight="1" x14ac:dyDescent="0.3">
      <c r="A21" s="1"/>
      <c r="B21" s="71"/>
      <c r="C21" s="1"/>
      <c r="D21" s="33"/>
      <c r="E21" s="2"/>
      <c r="F21" s="3"/>
      <c r="G21" s="3"/>
      <c r="H21" s="3"/>
    </row>
    <row r="22" spans="1:8" ht="34.950000000000003" customHeight="1" x14ac:dyDescent="0.3">
      <c r="A22" s="1"/>
      <c r="B22" s="71"/>
      <c r="C22" s="1"/>
      <c r="D22" s="33"/>
      <c r="E22" s="2"/>
      <c r="F22" s="3"/>
      <c r="G22" s="3"/>
      <c r="H22" s="3"/>
    </row>
    <row r="23" spans="1:8" ht="34.950000000000003" customHeight="1" x14ac:dyDescent="0.3">
      <c r="A23" s="1"/>
      <c r="B23" s="32"/>
      <c r="C23" s="34"/>
      <c r="D23" s="33"/>
      <c r="E23" s="2"/>
      <c r="F23" s="3"/>
      <c r="G23" s="3"/>
      <c r="H23" s="3"/>
    </row>
    <row r="24" spans="1:8" ht="34.950000000000003" customHeight="1" x14ac:dyDescent="0.3">
      <c r="A24" s="1"/>
      <c r="B24" s="32"/>
      <c r="C24" s="34"/>
      <c r="D24" s="33"/>
      <c r="E24" s="2"/>
      <c r="F24" s="3"/>
      <c r="G24" s="3"/>
      <c r="H24" s="3"/>
    </row>
    <row r="25" spans="1:8" ht="34.950000000000003" customHeight="1" x14ac:dyDescent="0.3">
      <c r="A25" s="4"/>
      <c r="B25" s="4"/>
      <c r="C25" s="35"/>
      <c r="D25" s="4"/>
      <c r="E25" s="4"/>
      <c r="F25" s="4"/>
      <c r="G25" s="4"/>
      <c r="H25" s="4"/>
    </row>
    <row r="27" spans="1:8" ht="22.5" customHeight="1" x14ac:dyDescent="0.3">
      <c r="E27" s="132" t="s">
        <v>41</v>
      </c>
      <c r="F27" s="132"/>
      <c r="G27" s="132"/>
      <c r="H27" s="5">
        <f>SUM(H19:H25)</f>
        <v>93393.75</v>
      </c>
    </row>
    <row r="28" spans="1:8" ht="22.5" customHeight="1" x14ac:dyDescent="0.3">
      <c r="E28" s="132" t="s">
        <v>42</v>
      </c>
      <c r="F28" s="132"/>
      <c r="G28" s="132"/>
      <c r="H28" s="5">
        <v>4500</v>
      </c>
    </row>
    <row r="29" spans="1:8" ht="22.5" customHeight="1" x14ac:dyDescent="0.3">
      <c r="E29" s="133" t="s">
        <v>43</v>
      </c>
      <c r="F29" s="133"/>
      <c r="G29" s="133"/>
      <c r="H29" s="6">
        <f>SUM(H27:H28)</f>
        <v>97893.75</v>
      </c>
    </row>
    <row r="30" spans="1:8" ht="22.5" customHeight="1" x14ac:dyDescent="0.3">
      <c r="E30" s="132" t="s">
        <v>44</v>
      </c>
      <c r="F30" s="132"/>
      <c r="G30" s="132"/>
      <c r="H30" s="5">
        <f>$H$29*9%</f>
        <v>8810.4375</v>
      </c>
    </row>
    <row r="31" spans="1:8" ht="22.5" customHeight="1" x14ac:dyDescent="0.3">
      <c r="E31" s="132" t="s">
        <v>45</v>
      </c>
      <c r="F31" s="132"/>
      <c r="G31" s="132"/>
      <c r="H31" s="5">
        <f>$H$29*9%</f>
        <v>8810.4375</v>
      </c>
    </row>
    <row r="32" spans="1:8" ht="22.5" customHeight="1" x14ac:dyDescent="0.35">
      <c r="E32" s="134" t="s">
        <v>46</v>
      </c>
      <c r="F32" s="134"/>
      <c r="G32" s="134"/>
      <c r="H32" s="7">
        <f>SUM(H29:H31)</f>
        <v>115514.625</v>
      </c>
    </row>
    <row r="34" spans="1:8" ht="18.75" customHeight="1" x14ac:dyDescent="0.3">
      <c r="A34" s="155" t="s">
        <v>117</v>
      </c>
      <c r="B34" s="156"/>
      <c r="C34" s="156"/>
      <c r="D34" s="156"/>
      <c r="E34" s="156"/>
      <c r="F34" s="156"/>
      <c r="G34" s="156"/>
      <c r="H34" s="157"/>
    </row>
    <row r="35" spans="1:8" x14ac:dyDescent="0.3">
      <c r="A35" s="26"/>
      <c r="B35" s="26"/>
      <c r="C35" s="26"/>
      <c r="D35" s="26"/>
      <c r="E35" s="26"/>
      <c r="F35" s="26"/>
      <c r="G35" s="26"/>
      <c r="H35" s="26"/>
    </row>
    <row r="36" spans="1:8" ht="17.399999999999999" x14ac:dyDescent="0.35">
      <c r="A36" s="124" t="s">
        <v>83</v>
      </c>
      <c r="B36" s="125"/>
      <c r="C36" s="126"/>
      <c r="D36" s="36"/>
      <c r="E36" s="27"/>
      <c r="F36" s="28"/>
      <c r="G36" s="28"/>
      <c r="H36" s="29" t="s">
        <v>47</v>
      </c>
    </row>
    <row r="37" spans="1:8" ht="15" customHeight="1" x14ac:dyDescent="0.3">
      <c r="A37" s="114" t="s">
        <v>48</v>
      </c>
      <c r="B37" s="115"/>
      <c r="C37" s="25" t="s">
        <v>49</v>
      </c>
      <c r="D37" s="37"/>
      <c r="E37" s="116" t="s">
        <v>50</v>
      </c>
      <c r="F37" s="116"/>
      <c r="G37" s="116"/>
      <c r="H37" s="117"/>
    </row>
    <row r="38" spans="1:8" x14ac:dyDescent="0.3">
      <c r="A38" s="114" t="s">
        <v>51</v>
      </c>
      <c r="B38" s="115"/>
      <c r="C38" s="72" t="s">
        <v>111</v>
      </c>
      <c r="D38" s="37"/>
      <c r="E38" s="118"/>
      <c r="F38" s="118"/>
      <c r="G38" s="118"/>
      <c r="H38" s="119"/>
    </row>
    <row r="39" spans="1:8" x14ac:dyDescent="0.3">
      <c r="A39" s="114" t="s">
        <v>52</v>
      </c>
      <c r="B39" s="115"/>
      <c r="C39" s="25" t="s">
        <v>53</v>
      </c>
      <c r="D39" s="37"/>
      <c r="E39" s="26"/>
      <c r="F39" s="26"/>
      <c r="G39" s="26"/>
      <c r="H39" s="30"/>
    </row>
    <row r="40" spans="1:8" x14ac:dyDescent="0.3">
      <c r="A40" s="120" t="s">
        <v>54</v>
      </c>
      <c r="B40" s="121"/>
      <c r="C40" s="31" t="s">
        <v>55</v>
      </c>
      <c r="D40" s="38"/>
      <c r="E40" s="122" t="s">
        <v>56</v>
      </c>
      <c r="F40" s="122"/>
      <c r="G40" s="122"/>
      <c r="H40" s="123"/>
    </row>
    <row r="41" spans="1:8" x14ac:dyDescent="0.3">
      <c r="A41" s="26"/>
      <c r="B41" s="26"/>
      <c r="C41" s="26"/>
      <c r="D41" s="26"/>
      <c r="E41" s="112"/>
      <c r="F41" s="112"/>
      <c r="G41" s="112"/>
      <c r="H41" s="112"/>
    </row>
    <row r="42" spans="1:8" x14ac:dyDescent="0.3">
      <c r="A42" s="113" t="s">
        <v>57</v>
      </c>
      <c r="B42" s="113"/>
      <c r="C42" s="113"/>
      <c r="D42" s="113"/>
      <c r="E42" s="113"/>
      <c r="F42" s="113"/>
      <c r="G42" s="113"/>
      <c r="H42" s="113"/>
    </row>
    <row r="43" spans="1:8" x14ac:dyDescent="0.3">
      <c r="A43" s="113" t="s">
        <v>58</v>
      </c>
      <c r="B43" s="113"/>
      <c r="C43" s="113"/>
      <c r="D43" s="113"/>
      <c r="E43" s="113"/>
      <c r="F43" s="113"/>
      <c r="G43" s="113"/>
      <c r="H43" s="113"/>
    </row>
  </sheetData>
  <mergeCells count="33">
    <mergeCell ref="E41:H41"/>
    <mergeCell ref="A42:H42"/>
    <mergeCell ref="A43:H43"/>
    <mergeCell ref="A37:B37"/>
    <mergeCell ref="E37:H37"/>
    <mergeCell ref="A38:B38"/>
    <mergeCell ref="E38:H38"/>
    <mergeCell ref="A39:B39"/>
    <mergeCell ref="A40:B40"/>
    <mergeCell ref="E40:H40"/>
    <mergeCell ref="A36:C36"/>
    <mergeCell ref="E12:F12"/>
    <mergeCell ref="G12:H12"/>
    <mergeCell ref="E14:F14"/>
    <mergeCell ref="G14:H14"/>
    <mergeCell ref="E27:G27"/>
    <mergeCell ref="E28:G28"/>
    <mergeCell ref="E29:G29"/>
    <mergeCell ref="E30:G30"/>
    <mergeCell ref="E31:G31"/>
    <mergeCell ref="E32:G32"/>
    <mergeCell ref="A34:H34"/>
    <mergeCell ref="E9:F9"/>
    <mergeCell ref="G9:H9"/>
    <mergeCell ref="E10:F10"/>
    <mergeCell ref="G10:H10"/>
    <mergeCell ref="E11:F11"/>
    <mergeCell ref="G11:H11"/>
    <mergeCell ref="A4:H4"/>
    <mergeCell ref="A5:H5"/>
    <mergeCell ref="A6:H6"/>
    <mergeCell ref="A8:D8"/>
    <mergeCell ref="E8:H8"/>
  </mergeCells>
  <pageMargins left="0.7" right="0.7" top="0.75" bottom="0.75" header="0.3" footer="0.3"/>
  <pageSetup scale="72" fitToWidth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50C4-765C-489F-8251-36C4C9704882}">
  <sheetPr>
    <pageSetUpPr fitToPage="1"/>
  </sheetPr>
  <dimension ref="A1:H44"/>
  <sheetViews>
    <sheetView showGridLines="0" zoomScale="130" zoomScaleNormal="100" workbookViewId="0">
      <selection activeCell="A44" sqref="A44:H44"/>
    </sheetView>
  </sheetViews>
  <sheetFormatPr defaultColWidth="8.6640625" defaultRowHeight="14.4" x14ac:dyDescent="0.3"/>
  <cols>
    <col min="1" max="1" width="7.44140625" customWidth="1"/>
    <col min="2" max="2" width="13.33203125" customWidth="1"/>
    <col min="3" max="3" width="42.5546875" customWidth="1"/>
    <col min="4" max="4" width="8.6640625" customWidth="1"/>
    <col min="5" max="5" width="9.77734375" customWidth="1"/>
    <col min="6" max="6" width="10.33203125" bestFit="1" customWidth="1"/>
    <col min="7" max="7" width="10.109375" customWidth="1"/>
    <col min="8" max="8" width="18" customWidth="1"/>
  </cols>
  <sheetData>
    <row r="1" spans="1:8" ht="18.75" customHeight="1" x14ac:dyDescent="0.3">
      <c r="A1" s="73" t="s">
        <v>124</v>
      </c>
      <c r="B1" s="74"/>
      <c r="C1" s="74"/>
      <c r="D1" s="74"/>
      <c r="E1" s="74"/>
      <c r="F1" s="74"/>
      <c r="G1" s="74"/>
      <c r="H1" s="75"/>
    </row>
    <row r="2" spans="1:8" ht="18.75" customHeight="1" x14ac:dyDescent="0.3">
      <c r="A2" s="76" t="s">
        <v>1</v>
      </c>
      <c r="B2" s="77"/>
      <c r="C2" s="77"/>
      <c r="D2" s="77"/>
      <c r="E2" s="77"/>
      <c r="F2" s="77"/>
      <c r="G2" s="77"/>
      <c r="H2" s="78"/>
    </row>
    <row r="3" spans="1:8" ht="18.75" customHeight="1" x14ac:dyDescent="0.3">
      <c r="A3" s="8"/>
      <c r="H3" s="9" t="s">
        <v>2</v>
      </c>
    </row>
    <row r="4" spans="1:8" ht="18.75" customHeight="1" x14ac:dyDescent="0.3">
      <c r="A4" s="149" t="s">
        <v>3</v>
      </c>
      <c r="B4" s="150"/>
      <c r="C4" s="150"/>
      <c r="D4" s="150"/>
      <c r="E4" s="150"/>
      <c r="F4" s="150"/>
      <c r="G4" s="150"/>
      <c r="H4" s="151"/>
    </row>
    <row r="5" spans="1:8" ht="18.75" customHeight="1" x14ac:dyDescent="0.3">
      <c r="A5" s="149" t="s">
        <v>4</v>
      </c>
      <c r="B5" s="150"/>
      <c r="C5" s="150"/>
      <c r="D5" s="150"/>
      <c r="E5" s="150"/>
      <c r="F5" s="150"/>
      <c r="G5" s="150"/>
      <c r="H5" s="151"/>
    </row>
    <row r="6" spans="1:8" ht="18.75" customHeight="1" x14ac:dyDescent="0.3">
      <c r="A6" s="152" t="s">
        <v>5</v>
      </c>
      <c r="B6" s="153"/>
      <c r="C6" s="153"/>
      <c r="D6" s="153"/>
      <c r="E6" s="153"/>
      <c r="F6" s="153"/>
      <c r="G6" s="153"/>
      <c r="H6" s="154"/>
    </row>
    <row r="7" spans="1:8" ht="18.75" customHeight="1" x14ac:dyDescent="0.3"/>
    <row r="8" spans="1:8" ht="21.75" customHeight="1" x14ac:dyDescent="0.3">
      <c r="A8" s="140" t="s">
        <v>6</v>
      </c>
      <c r="B8" s="141"/>
      <c r="C8" s="141"/>
      <c r="D8" s="141"/>
      <c r="E8" s="141" t="s">
        <v>7</v>
      </c>
      <c r="F8" s="141"/>
      <c r="G8" s="141"/>
      <c r="H8" s="142"/>
    </row>
    <row r="9" spans="1:8" ht="21.75" customHeight="1" x14ac:dyDescent="0.3">
      <c r="A9" s="10" t="s">
        <v>8</v>
      </c>
      <c r="B9" s="11"/>
      <c r="C9" s="12" t="s">
        <v>85</v>
      </c>
      <c r="D9" s="11"/>
      <c r="E9" s="127" t="s">
        <v>10</v>
      </c>
      <c r="F9" s="127"/>
      <c r="G9" s="128" t="s">
        <v>125</v>
      </c>
      <c r="H9" s="129"/>
    </row>
    <row r="10" spans="1:8" ht="21.75" customHeight="1" x14ac:dyDescent="0.3">
      <c r="A10" s="10" t="s">
        <v>12</v>
      </c>
      <c r="B10" s="11"/>
      <c r="C10" s="12" t="s">
        <v>87</v>
      </c>
      <c r="D10" s="11"/>
      <c r="E10" s="127" t="s">
        <v>14</v>
      </c>
      <c r="F10" s="127"/>
      <c r="G10" s="138">
        <v>46195</v>
      </c>
      <c r="H10" s="139"/>
    </row>
    <row r="11" spans="1:8" ht="21.75" customHeight="1" x14ac:dyDescent="0.3">
      <c r="A11" s="10" t="s">
        <v>15</v>
      </c>
      <c r="B11" s="11"/>
      <c r="C11" s="12" t="s">
        <v>88</v>
      </c>
      <c r="D11" s="11"/>
      <c r="E11" s="127" t="s">
        <v>17</v>
      </c>
      <c r="F11" s="127"/>
      <c r="G11" s="128"/>
      <c r="H11" s="129"/>
    </row>
    <row r="12" spans="1:8" ht="21.75" customHeight="1" x14ac:dyDescent="0.3">
      <c r="A12" s="10" t="s">
        <v>19</v>
      </c>
      <c r="B12" s="11"/>
      <c r="C12" s="12" t="s">
        <v>115</v>
      </c>
      <c r="D12" s="11"/>
      <c r="E12" s="127" t="s">
        <v>21</v>
      </c>
      <c r="F12" s="127"/>
      <c r="G12" s="128" t="s">
        <v>22</v>
      </c>
      <c r="H12" s="129"/>
    </row>
    <row r="13" spans="1:8" ht="21.75" customHeight="1" x14ac:dyDescent="0.3">
      <c r="A13" s="10" t="s">
        <v>23</v>
      </c>
      <c r="B13" s="11"/>
      <c r="C13" s="13">
        <v>46193</v>
      </c>
      <c r="D13" s="11"/>
      <c r="E13" s="14"/>
      <c r="F13" s="14"/>
      <c r="G13" s="14"/>
      <c r="H13" s="15"/>
    </row>
    <row r="14" spans="1:8" ht="21.75" customHeight="1" x14ac:dyDescent="0.3">
      <c r="A14" s="16" t="s">
        <v>24</v>
      </c>
      <c r="B14" s="17" t="s">
        <v>25</v>
      </c>
      <c r="C14" s="18" t="s">
        <v>26</v>
      </c>
      <c r="D14" s="19"/>
      <c r="E14" s="130"/>
      <c r="F14" s="130"/>
      <c r="G14" s="130"/>
      <c r="H14" s="131"/>
    </row>
    <row r="15" spans="1:8" ht="18.75" customHeight="1" x14ac:dyDescent="0.3"/>
    <row r="16" spans="1:8" ht="18.75" customHeight="1" x14ac:dyDescent="0.3">
      <c r="A16" s="50" t="s">
        <v>92</v>
      </c>
      <c r="B16" s="21"/>
      <c r="C16" s="21"/>
      <c r="D16" s="21"/>
      <c r="E16" s="22" t="s">
        <v>76</v>
      </c>
      <c r="F16" s="23"/>
      <c r="G16" s="40" t="s">
        <v>118</v>
      </c>
      <c r="H16" s="24"/>
    </row>
    <row r="17" spans="1:8" ht="18.75" customHeight="1" x14ac:dyDescent="0.3"/>
    <row r="18" spans="1:8" ht="37.950000000000003" customHeight="1" x14ac:dyDescent="0.3">
      <c r="A18" s="39" t="s">
        <v>27</v>
      </c>
      <c r="B18" s="39" t="s">
        <v>28</v>
      </c>
      <c r="C18" s="39" t="s">
        <v>29</v>
      </c>
      <c r="D18" s="39" t="s">
        <v>30</v>
      </c>
      <c r="E18" s="39" t="s">
        <v>31</v>
      </c>
      <c r="F18" s="39" t="s">
        <v>32</v>
      </c>
      <c r="G18" s="39" t="s">
        <v>33</v>
      </c>
      <c r="H18" s="39" t="s">
        <v>34</v>
      </c>
    </row>
    <row r="19" spans="1:8" ht="34.950000000000003" customHeight="1" x14ac:dyDescent="0.3">
      <c r="A19" s="1">
        <v>1</v>
      </c>
      <c r="B19" s="71">
        <v>12090107</v>
      </c>
      <c r="C19" s="80" t="s">
        <v>127</v>
      </c>
      <c r="D19" s="33">
        <v>72085100</v>
      </c>
      <c r="E19" s="2"/>
      <c r="F19" s="3">
        <v>15</v>
      </c>
      <c r="G19" s="3">
        <v>63.75</v>
      </c>
      <c r="H19" s="3">
        <f>F19*G19</f>
        <v>956.25</v>
      </c>
    </row>
    <row r="20" spans="1:8" ht="34.950000000000003" customHeight="1" x14ac:dyDescent="0.3">
      <c r="A20" s="1"/>
      <c r="B20" s="71"/>
      <c r="C20" s="1"/>
      <c r="D20" s="33"/>
      <c r="E20" s="2"/>
      <c r="F20" s="3"/>
      <c r="G20" s="3"/>
      <c r="H20" s="3"/>
    </row>
    <row r="21" spans="1:8" ht="34.950000000000003" customHeight="1" x14ac:dyDescent="0.3">
      <c r="A21" s="1"/>
      <c r="B21" s="71"/>
      <c r="C21" s="1"/>
      <c r="D21" s="33"/>
      <c r="E21" s="2"/>
      <c r="F21" s="3"/>
      <c r="G21" s="3"/>
      <c r="H21" s="3"/>
    </row>
    <row r="22" spans="1:8" ht="34.950000000000003" customHeight="1" x14ac:dyDescent="0.3">
      <c r="A22" s="1"/>
      <c r="B22" s="71"/>
      <c r="C22" s="1"/>
      <c r="D22" s="33"/>
      <c r="E22" s="2"/>
      <c r="F22" s="3"/>
      <c r="G22" s="3"/>
      <c r="H22" s="3"/>
    </row>
    <row r="23" spans="1:8" ht="34.950000000000003" customHeight="1" x14ac:dyDescent="0.3">
      <c r="A23" s="1"/>
      <c r="B23" s="32"/>
      <c r="C23" s="34"/>
      <c r="D23" s="33"/>
      <c r="E23" s="2"/>
      <c r="F23" s="3"/>
      <c r="G23" s="3"/>
      <c r="H23" s="3"/>
    </row>
    <row r="24" spans="1:8" ht="34.950000000000003" customHeight="1" x14ac:dyDescent="0.3">
      <c r="A24" s="1"/>
      <c r="B24" s="32"/>
      <c r="C24" s="34"/>
      <c r="D24" s="33"/>
      <c r="E24" s="2"/>
      <c r="F24" s="3"/>
      <c r="G24" s="3"/>
      <c r="H24" s="3"/>
    </row>
    <row r="25" spans="1:8" ht="18.75" customHeight="1" x14ac:dyDescent="0.3"/>
    <row r="26" spans="1:8" ht="18" x14ac:dyDescent="0.35">
      <c r="A26" s="192" t="s">
        <v>128</v>
      </c>
      <c r="B26" s="193"/>
      <c r="C26" s="193"/>
      <c r="D26" s="193"/>
      <c r="E26" s="193"/>
      <c r="F26" s="193"/>
      <c r="G26" s="193"/>
      <c r="H26" s="194"/>
    </row>
    <row r="27" spans="1:8" ht="15.6" x14ac:dyDescent="0.3">
      <c r="A27" s="79"/>
      <c r="B27" s="79"/>
      <c r="C27" s="79"/>
      <c r="D27" s="79"/>
      <c r="E27" s="79"/>
      <c r="F27" s="79"/>
      <c r="G27" s="79"/>
      <c r="H27" s="79"/>
    </row>
    <row r="28" spans="1:8" ht="22.5" customHeight="1" x14ac:dyDescent="0.3">
      <c r="E28" s="132" t="s">
        <v>41</v>
      </c>
      <c r="F28" s="132"/>
      <c r="G28" s="132"/>
      <c r="H28" s="5">
        <f>SUM(H19:H24)</f>
        <v>956.25</v>
      </c>
    </row>
    <row r="29" spans="1:8" ht="22.5" customHeight="1" x14ac:dyDescent="0.3">
      <c r="E29" s="132" t="s">
        <v>42</v>
      </c>
      <c r="F29" s="132"/>
      <c r="G29" s="132"/>
      <c r="H29" s="5"/>
    </row>
    <row r="30" spans="1:8" ht="22.5" customHeight="1" x14ac:dyDescent="0.3">
      <c r="E30" s="133" t="s">
        <v>43</v>
      </c>
      <c r="F30" s="133"/>
      <c r="G30" s="133"/>
      <c r="H30" s="6">
        <f>SUM(H28:H29)</f>
        <v>956.25</v>
      </c>
    </row>
    <row r="31" spans="1:8" ht="22.5" customHeight="1" x14ac:dyDescent="0.3">
      <c r="E31" s="132" t="s">
        <v>44</v>
      </c>
      <c r="F31" s="132"/>
      <c r="G31" s="132"/>
      <c r="H31" s="5">
        <f>$H$30*9%</f>
        <v>86.0625</v>
      </c>
    </row>
    <row r="32" spans="1:8" ht="22.5" customHeight="1" x14ac:dyDescent="0.3">
      <c r="E32" s="132" t="s">
        <v>45</v>
      </c>
      <c r="F32" s="132"/>
      <c r="G32" s="132"/>
      <c r="H32" s="5">
        <f>$H$30*9%</f>
        <v>86.0625</v>
      </c>
    </row>
    <row r="33" spans="1:8" ht="22.5" customHeight="1" x14ac:dyDescent="0.35">
      <c r="E33" s="134" t="s">
        <v>46</v>
      </c>
      <c r="F33" s="134"/>
      <c r="G33" s="134"/>
      <c r="H33" s="7">
        <f>SUM(H30:H32)</f>
        <v>1128.375</v>
      </c>
    </row>
    <row r="35" spans="1:8" ht="18.75" customHeight="1" x14ac:dyDescent="0.3">
      <c r="A35" s="155" t="s">
        <v>126</v>
      </c>
      <c r="B35" s="156"/>
      <c r="C35" s="156"/>
      <c r="D35" s="156"/>
      <c r="E35" s="156"/>
      <c r="F35" s="156"/>
      <c r="G35" s="156"/>
      <c r="H35" s="157"/>
    </row>
    <row r="36" spans="1:8" x14ac:dyDescent="0.3">
      <c r="A36" s="26"/>
      <c r="B36" s="26"/>
      <c r="C36" s="26"/>
      <c r="D36" s="26"/>
      <c r="E36" s="26"/>
      <c r="F36" s="26"/>
      <c r="G36" s="26"/>
      <c r="H36" s="26"/>
    </row>
    <row r="37" spans="1:8" ht="17.399999999999999" x14ac:dyDescent="0.35">
      <c r="A37" s="124" t="s">
        <v>83</v>
      </c>
      <c r="B37" s="125"/>
      <c r="C37" s="126"/>
      <c r="D37" s="36"/>
      <c r="E37" s="27"/>
      <c r="F37" s="28"/>
      <c r="G37" s="28"/>
      <c r="H37" s="29" t="s">
        <v>47</v>
      </c>
    </row>
    <row r="38" spans="1:8" ht="15" customHeight="1" x14ac:dyDescent="0.3">
      <c r="A38" s="114" t="s">
        <v>48</v>
      </c>
      <c r="B38" s="115"/>
      <c r="C38" s="25" t="s">
        <v>49</v>
      </c>
      <c r="D38" s="37"/>
      <c r="E38" s="116" t="s">
        <v>50</v>
      </c>
      <c r="F38" s="116"/>
      <c r="G38" s="116"/>
      <c r="H38" s="117"/>
    </row>
    <row r="39" spans="1:8" x14ac:dyDescent="0.3">
      <c r="A39" s="114" t="s">
        <v>51</v>
      </c>
      <c r="B39" s="115"/>
      <c r="C39" s="72" t="s">
        <v>111</v>
      </c>
      <c r="D39" s="37"/>
      <c r="E39" s="118"/>
      <c r="F39" s="118"/>
      <c r="G39" s="118"/>
      <c r="H39" s="119"/>
    </row>
    <row r="40" spans="1:8" x14ac:dyDescent="0.3">
      <c r="A40" s="114" t="s">
        <v>52</v>
      </c>
      <c r="B40" s="115"/>
      <c r="C40" s="25" t="s">
        <v>53</v>
      </c>
      <c r="D40" s="37"/>
      <c r="E40" s="26"/>
      <c r="F40" s="26"/>
      <c r="G40" s="26"/>
      <c r="H40" s="30"/>
    </row>
    <row r="41" spans="1:8" x14ac:dyDescent="0.3">
      <c r="A41" s="120" t="s">
        <v>54</v>
      </c>
      <c r="B41" s="121"/>
      <c r="C41" s="31" t="s">
        <v>55</v>
      </c>
      <c r="D41" s="38"/>
      <c r="E41" s="122" t="s">
        <v>56</v>
      </c>
      <c r="F41" s="122"/>
      <c r="G41" s="122"/>
      <c r="H41" s="123"/>
    </row>
    <row r="42" spans="1:8" x14ac:dyDescent="0.3">
      <c r="A42" s="26"/>
      <c r="B42" s="26"/>
      <c r="C42" s="26"/>
      <c r="D42" s="26"/>
      <c r="E42" s="112"/>
      <c r="F42" s="112"/>
      <c r="G42" s="112"/>
      <c r="H42" s="112"/>
    </row>
    <row r="43" spans="1:8" x14ac:dyDescent="0.3">
      <c r="A43" s="113" t="s">
        <v>57</v>
      </c>
      <c r="B43" s="113"/>
      <c r="C43" s="113"/>
      <c r="D43" s="113"/>
      <c r="E43" s="113"/>
      <c r="F43" s="113"/>
      <c r="G43" s="113"/>
      <c r="H43" s="113"/>
    </row>
    <row r="44" spans="1:8" x14ac:dyDescent="0.3">
      <c r="A44" s="113" t="s">
        <v>58</v>
      </c>
      <c r="B44" s="113"/>
      <c r="C44" s="113"/>
      <c r="D44" s="113"/>
      <c r="E44" s="113"/>
      <c r="F44" s="113"/>
      <c r="G44" s="113"/>
      <c r="H44" s="113"/>
    </row>
  </sheetData>
  <mergeCells count="34">
    <mergeCell ref="A43:H43"/>
    <mergeCell ref="A44:H44"/>
    <mergeCell ref="A26:H26"/>
    <mergeCell ref="A39:B39"/>
    <mergeCell ref="E39:H39"/>
    <mergeCell ref="A40:B40"/>
    <mergeCell ref="A41:B41"/>
    <mergeCell ref="E41:H41"/>
    <mergeCell ref="E42:H42"/>
    <mergeCell ref="E32:G32"/>
    <mergeCell ref="E33:G33"/>
    <mergeCell ref="A35:H35"/>
    <mergeCell ref="A37:C37"/>
    <mergeCell ref="A38:B38"/>
    <mergeCell ref="E38:H38"/>
    <mergeCell ref="E31:G31"/>
    <mergeCell ref="E14:F14"/>
    <mergeCell ref="G14:H14"/>
    <mergeCell ref="E28:G28"/>
    <mergeCell ref="E29:G29"/>
    <mergeCell ref="E30:G30"/>
    <mergeCell ref="E10:F10"/>
    <mergeCell ref="G10:H10"/>
    <mergeCell ref="E11:F11"/>
    <mergeCell ref="G11:H11"/>
    <mergeCell ref="E12:F12"/>
    <mergeCell ref="G12:H12"/>
    <mergeCell ref="E9:F9"/>
    <mergeCell ref="G9:H9"/>
    <mergeCell ref="A4:H4"/>
    <mergeCell ref="A5:H5"/>
    <mergeCell ref="A6:H6"/>
    <mergeCell ref="A8:D8"/>
    <mergeCell ref="E8:H8"/>
  </mergeCells>
  <pageMargins left="0.7" right="0.7" top="0.75" bottom="0.75" header="0.3" footer="0.3"/>
  <pageSetup scale="72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</vt:lpstr>
      <vt:lpstr>Master_Items</vt:lpstr>
      <vt:lpstr>Lagan_19</vt:lpstr>
      <vt:lpstr>Lagan_17</vt:lpstr>
      <vt:lpstr>Lagan_16</vt:lpstr>
      <vt:lpstr>Lagan_15</vt:lpstr>
      <vt:lpstr>Lagan_10</vt:lpstr>
      <vt:lpstr>Lagan_9</vt:lpstr>
      <vt:lpstr>birla_05</vt:lpstr>
      <vt:lpstr>birla_11</vt:lpstr>
      <vt:lpstr>birla_12</vt:lpstr>
      <vt:lpstr>birla_13</vt:lpstr>
      <vt:lpstr>birla_14</vt:lpstr>
      <vt:lpstr>birla_14_CN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shashank kakrania</cp:lastModifiedBy>
  <cp:revision>0</cp:revision>
  <cp:lastPrinted>2026-08-05T15:19:41Z</cp:lastPrinted>
  <dcterms:created xsi:type="dcterms:W3CDTF">2026-05-19T05:50:49Z</dcterms:created>
  <dcterms:modified xsi:type="dcterms:W3CDTF">2026-09-28T11:08:45Z</dcterms:modified>
  <dc:language>en-US</dc:language>
</cp:coreProperties>
</file>